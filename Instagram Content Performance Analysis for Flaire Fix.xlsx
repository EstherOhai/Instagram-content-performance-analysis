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3"/>
  <workbookPr/>
  <mc:AlternateContent xmlns:mc="http://schemas.openxmlformats.org/markup-compatibility/2006">
    <mc:Choice Requires="x15">
      <x15ac:absPath xmlns:x15ac="http://schemas.microsoft.com/office/spreadsheetml/2010/11/ac" url="https://d.docs.live.net/0CF6BACFC294DCC0/ドキュメント/"/>
    </mc:Choice>
  </mc:AlternateContent>
  <xr:revisionPtr revIDLastSave="0" documentId="8_{C88D5F1C-F70B-7D4A-BF65-DA593894C43F}" xr6:coauthVersionLast="47" xr6:coauthVersionMax="47" xr10:uidLastSave="{00000000-0000-0000-0000-000000000000}"/>
  <bookViews>
    <workbookView xWindow="-120" yWindow="-120" windowWidth="20730" windowHeight="11160" activeTab="1" xr2:uid="{885D21D6-CF1C-4EE4-A524-4389DBBFB62E}"/>
  </bookViews>
  <sheets>
    <sheet name="Analysis" sheetId="3" r:id="rId1"/>
    <sheet name="Dashboard" sheetId="4" r:id="rId2"/>
    <sheet name="Data" sheetId="1" r:id="rId3"/>
  </sheets>
  <definedNames>
    <definedName name="Slicer_Theme">#N/A</definedName>
  </definedNames>
  <calcPr calcId="191028"/>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B21" i="3"/>
  <c r="J2" i="1"/>
  <c r="J3" i="1"/>
  <c r="J4" i="1"/>
  <c r="J5" i="1"/>
  <c r="J6" i="1"/>
  <c r="J7" i="1"/>
  <c r="J8" i="1"/>
  <c r="J9" i="1"/>
  <c r="J10" i="1"/>
  <c r="J11" i="1"/>
  <c r="J12" i="1"/>
  <c r="J13" i="1"/>
  <c r="J14" i="1"/>
  <c r="J15" i="1"/>
  <c r="J16" i="1"/>
  <c r="J17" i="1"/>
  <c r="J18" i="1"/>
  <c r="J19" i="1"/>
  <c r="J20" i="1"/>
  <c r="J21" i="1"/>
  <c r="B20" i="3"/>
  <c r="B19" i="3"/>
  <c r="B18" i="3"/>
</calcChain>
</file>

<file path=xl/sharedStrings.xml><?xml version="1.0" encoding="utf-8"?>
<sst xmlns="http://schemas.openxmlformats.org/spreadsheetml/2006/main" count="125" uniqueCount="31">
  <si>
    <t>Date</t>
  </si>
  <si>
    <t>Content Type</t>
  </si>
  <si>
    <t>Theme</t>
  </si>
  <si>
    <t>Likes</t>
  </si>
  <si>
    <t>Comments</t>
  </si>
  <si>
    <t>Saves</t>
  </si>
  <si>
    <t>Shares</t>
  </si>
  <si>
    <t>Reels</t>
  </si>
  <si>
    <t>Wig Transformation</t>
  </si>
  <si>
    <t>Wig Laundry Proceess</t>
  </si>
  <si>
    <t>Process Video</t>
  </si>
  <si>
    <t>Educational Content</t>
  </si>
  <si>
    <t>Packaging &amp; Orders</t>
  </si>
  <si>
    <t>Service Promotion</t>
  </si>
  <si>
    <t>Flaire Bun product promotion</t>
  </si>
  <si>
    <t>Flaire Bun Packaging showcase</t>
  </si>
  <si>
    <t>Flaire Bun promotion</t>
  </si>
  <si>
    <t>Patronage proof</t>
  </si>
  <si>
    <t>Total Engagement</t>
  </si>
  <si>
    <t>Views</t>
  </si>
  <si>
    <t>Engagement Rate</t>
  </si>
  <si>
    <t>Row Labels</t>
  </si>
  <si>
    <t>Grand Total</t>
  </si>
  <si>
    <t>Service Showcase</t>
  </si>
  <si>
    <t>Average Shares</t>
  </si>
  <si>
    <t>Average Comments</t>
  </si>
  <si>
    <t>Average Likes</t>
  </si>
  <si>
    <t>Average Engagement Rate</t>
  </si>
  <si>
    <t>Average Views</t>
  </si>
  <si>
    <t>Total Posts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</si>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</sst>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quotePrefix="1"/>
    <xf numFmtId="1" fontId="0" fillId="0" borderId="0" xfId="0" applyNumberFormat="1"/>
  </cellXfs>
  <cellStyles count="1">
    <cellStyle name="Normal" xfId="0" builtinId="0"/>
  </cellStyles>
  <dxfs count="3">
    <dxf>
      <numFmt numFmtId="14" formatCode="0.00%"/>
    </dxf>
    <dxf>
      <numFmt numFmtId="0" formatCode="General"/>
    </dxf>
    <dxf>
      <numFmt numFmtId="164" formatCode="dd/mm/yyyy"/>
    </dxf>
  </dxfs>
  <tableStyles count="0" defaultTableStyle="TableStyleMedium2" defaultPivotStyle="PivotStyleLight16"/>
  <colors>
    <mruColors>
      <color rgb="FFFE82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Wig Laundry Proceess</c:v>
                </c:pt>
                <c:pt idx="9">
                  <c:v>Wig Transformation</c:v>
                </c:pt>
                <c:pt idx="10">
                  <c:v>Service Showcase</c:v>
                </c:pt>
              </c:strCache>
            </c:strRef>
          </c:cat>
          <c:val>
            <c:numRef>
              <c:f>Analysis!$B$4:$B$15</c:f>
              <c:numCache>
                <c:formatCode>General</c:formatCode>
                <c:ptCount val="11"/>
                <c:pt idx="0">
                  <c:v>2447</c:v>
                </c:pt>
                <c:pt idx="1">
                  <c:v>177</c:v>
                </c:pt>
                <c:pt idx="2">
                  <c:v>1991</c:v>
                </c:pt>
                <c:pt idx="3">
                  <c:v>1270</c:v>
                </c:pt>
                <c:pt idx="4">
                  <c:v>169</c:v>
                </c:pt>
                <c:pt idx="5">
                  <c:v>198</c:v>
                </c:pt>
                <c:pt idx="6">
                  <c:v>77</c:v>
                </c:pt>
                <c:pt idx="7">
                  <c:v>183</c:v>
                </c:pt>
                <c:pt idx="8">
                  <c:v>149</c:v>
                </c:pt>
                <c:pt idx="9">
                  <c:v>104.66666666666667</c:v>
                </c:pt>
                <c:pt idx="10">
                  <c:v>181</c:v>
                </c:pt>
              </c:numCache>
            </c:numRef>
          </c:val>
          <c:extLst>
            <c:ext xmlns:c16="http://schemas.microsoft.com/office/drawing/2014/chart" uri="{C3380CC4-5D6E-409C-BE32-E72D297353CC}">
              <c16:uniqueId val="{00000000-BA6D-4DE2-B15A-A9A60E3DE8E1}"/>
            </c:ext>
          </c:extLst>
        </c:ser>
        <c:dLbls>
          <c:showLegendKey val="0"/>
          <c:showVal val="0"/>
          <c:showCatName val="0"/>
          <c:showSerName val="0"/>
          <c:showPercent val="0"/>
          <c:showBubbleSize val="0"/>
        </c:dLbls>
        <c:gapWidth val="150"/>
        <c:axId val="195777072"/>
        <c:axId val="195778512"/>
      </c:barChart>
      <c:catAx>
        <c:axId val="19577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78512"/>
        <c:crosses val="autoZero"/>
        <c:auto val="1"/>
        <c:lblAlgn val="ctr"/>
        <c:lblOffset val="100"/>
        <c:noMultiLvlLbl val="0"/>
      </c:catAx>
      <c:valAx>
        <c:axId val="19577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7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Analysis!$F$3</c:f>
              <c:strCache>
                <c:ptCount val="1"/>
                <c:pt idx="0">
                  <c:v>Total</c:v>
                </c:pt>
              </c:strCache>
            </c:strRef>
          </c:tx>
          <c:spPr>
            <a:solidFill>
              <a:schemeClr val="accent1"/>
            </a:solidFill>
            <a:ln>
              <a:noFill/>
            </a:ln>
            <a:effectLst/>
          </c:spPr>
          <c:invertIfNegative val="0"/>
          <c:cat>
            <c:strRef>
              <c:f>Analysis!$E$4:$E$15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Service Showcase</c:v>
                </c:pt>
                <c:pt idx="9">
                  <c:v>Wig Laundry Proceess</c:v>
                </c:pt>
                <c:pt idx="10">
                  <c:v>Wig Transformation</c:v>
                </c:pt>
              </c:strCache>
            </c:strRef>
          </c:cat>
          <c:val>
            <c:numRef>
              <c:f>Analysis!$F$4:$F$15</c:f>
              <c:numCache>
                <c:formatCode>0.00%</c:formatCode>
                <c:ptCount val="11"/>
                <c:pt idx="0">
                  <c:v>1.6119387959004052E-2</c:v>
                </c:pt>
                <c:pt idx="1">
                  <c:v>4.519774011299435E-2</c:v>
                </c:pt>
                <c:pt idx="2">
                  <c:v>2.7043569782981204E-2</c:v>
                </c:pt>
                <c:pt idx="3">
                  <c:v>2.6346381584981874E-2</c:v>
                </c:pt>
                <c:pt idx="4">
                  <c:v>4.7337278106508875E-2</c:v>
                </c:pt>
                <c:pt idx="5">
                  <c:v>2.0202020202020204E-2</c:v>
                </c:pt>
                <c:pt idx="6">
                  <c:v>7.792207792207792E-2</c:v>
                </c:pt>
                <c:pt idx="7">
                  <c:v>3.825136612021858E-2</c:v>
                </c:pt>
                <c:pt idx="8">
                  <c:v>3.3149171270718231E-2</c:v>
                </c:pt>
                <c:pt idx="9">
                  <c:v>2.0134228187919462E-2</c:v>
                </c:pt>
                <c:pt idx="10">
                  <c:v>6.1253821080542468E-2</c:v>
                </c:pt>
              </c:numCache>
            </c:numRef>
          </c:val>
          <c:extLst>
            <c:ext xmlns:c16="http://schemas.microsoft.com/office/drawing/2014/chart" uri="{C3380CC4-5D6E-409C-BE32-E72D297353CC}">
              <c16:uniqueId val="{00000000-EF3C-4F48-AB9A-F14EF1867E22}"/>
            </c:ext>
          </c:extLst>
        </c:ser>
        <c:dLbls>
          <c:showLegendKey val="0"/>
          <c:showVal val="0"/>
          <c:showCatName val="0"/>
          <c:showSerName val="0"/>
          <c:showPercent val="0"/>
          <c:showBubbleSize val="0"/>
        </c:dLbls>
        <c:gapWidth val="182"/>
        <c:axId val="2030365328"/>
        <c:axId val="2030365808"/>
      </c:barChart>
      <c:catAx>
        <c:axId val="20303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0365808"/>
        <c:crosses val="autoZero"/>
        <c:auto val="1"/>
        <c:lblAlgn val="ctr"/>
        <c:lblOffset val="100"/>
        <c:noMultiLvlLbl val="0"/>
      </c:catAx>
      <c:valAx>
        <c:axId val="20303658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036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Analysis!$J$3</c:f>
              <c:strCache>
                <c:ptCount val="1"/>
                <c:pt idx="0">
                  <c:v>Total</c:v>
                </c:pt>
              </c:strCache>
            </c:strRef>
          </c:tx>
          <c:spPr>
            <a:solidFill>
              <a:schemeClr val="accent1"/>
            </a:solidFill>
            <a:ln>
              <a:noFill/>
            </a:ln>
            <a:effectLst/>
          </c:spPr>
          <c:invertIfNegative val="0"/>
          <c:cat>
            <c:strRef>
              <c:f>Analysis!$I$4:$I$15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Service Showcase</c:v>
                </c:pt>
                <c:pt idx="9">
                  <c:v>Wig Laundry Proceess</c:v>
                </c:pt>
                <c:pt idx="10">
                  <c:v>Wig Transformation</c:v>
                </c:pt>
              </c:strCache>
            </c:strRef>
          </c:cat>
          <c:val>
            <c:numRef>
              <c:f>Analysis!$J$4:$J$15</c:f>
              <c:numCache>
                <c:formatCode>General</c:formatCode>
                <c:ptCount val="11"/>
                <c:pt idx="0">
                  <c:v>40</c:v>
                </c:pt>
                <c:pt idx="1">
                  <c:v>8</c:v>
                </c:pt>
                <c:pt idx="2">
                  <c:v>47.5</c:v>
                </c:pt>
                <c:pt idx="3">
                  <c:v>22.166666666666668</c:v>
                </c:pt>
                <c:pt idx="4">
                  <c:v>6</c:v>
                </c:pt>
                <c:pt idx="5">
                  <c:v>4</c:v>
                </c:pt>
                <c:pt idx="6">
                  <c:v>5</c:v>
                </c:pt>
                <c:pt idx="7">
                  <c:v>7</c:v>
                </c:pt>
                <c:pt idx="8">
                  <c:v>5</c:v>
                </c:pt>
                <c:pt idx="9">
                  <c:v>2</c:v>
                </c:pt>
                <c:pt idx="10">
                  <c:v>3.3333333333333335</c:v>
                </c:pt>
              </c:numCache>
            </c:numRef>
          </c:val>
          <c:extLst>
            <c:ext xmlns:c16="http://schemas.microsoft.com/office/drawing/2014/chart" uri="{C3380CC4-5D6E-409C-BE32-E72D297353CC}">
              <c16:uniqueId val="{00000000-4201-4DD5-B8E6-ACF49173D4E2}"/>
            </c:ext>
          </c:extLst>
        </c:ser>
        <c:dLbls>
          <c:showLegendKey val="0"/>
          <c:showVal val="0"/>
          <c:showCatName val="0"/>
          <c:showSerName val="0"/>
          <c:showPercent val="0"/>
          <c:showBubbleSize val="0"/>
        </c:dLbls>
        <c:gapWidth val="182"/>
        <c:axId val="195791472"/>
        <c:axId val="195774192"/>
      </c:barChart>
      <c:catAx>
        <c:axId val="19579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74192"/>
        <c:crosses val="autoZero"/>
        <c:auto val="1"/>
        <c:lblAlgn val="ctr"/>
        <c:lblOffset val="100"/>
        <c:noMultiLvlLbl val="0"/>
      </c:catAx>
      <c:valAx>
        <c:axId val="19577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9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Analysis!$R$3</c:f>
              <c:strCache>
                <c:ptCount val="1"/>
                <c:pt idx="0">
                  <c:v>Total</c:v>
                </c:pt>
              </c:strCache>
            </c:strRef>
          </c:tx>
          <c:spPr>
            <a:solidFill>
              <a:schemeClr val="accent1"/>
            </a:solidFill>
            <a:ln>
              <a:noFill/>
            </a:ln>
            <a:effectLst/>
          </c:spPr>
          <c:invertIfNegative val="0"/>
          <c:cat>
            <c:strRef>
              <c:f>Analysis!$Q$4:$Q$15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Service Showcase</c:v>
                </c:pt>
                <c:pt idx="9">
                  <c:v>Wig Laundry Proceess</c:v>
                </c:pt>
                <c:pt idx="10">
                  <c:v>Wig Transformation</c:v>
                </c:pt>
              </c:strCache>
            </c:strRef>
          </c:cat>
          <c:val>
            <c:numRef>
              <c:f>Analysis!$R$4:$R$15</c:f>
              <c:numCache>
                <c:formatCode>General</c:formatCode>
                <c:ptCount val="11"/>
                <c:pt idx="0">
                  <c:v>0.5</c:v>
                </c:pt>
                <c:pt idx="1">
                  <c:v>0</c:v>
                </c:pt>
                <c:pt idx="2">
                  <c:v>2</c:v>
                </c:pt>
                <c:pt idx="3">
                  <c:v>1.6666666666666667</c:v>
                </c:pt>
                <c:pt idx="4">
                  <c:v>0</c:v>
                </c:pt>
                <c:pt idx="5">
                  <c:v>0</c:v>
                </c:pt>
                <c:pt idx="6">
                  <c:v>1</c:v>
                </c:pt>
                <c:pt idx="7">
                  <c:v>0</c:v>
                </c:pt>
                <c:pt idx="8">
                  <c:v>1</c:v>
                </c:pt>
                <c:pt idx="9">
                  <c:v>0</c:v>
                </c:pt>
                <c:pt idx="10">
                  <c:v>0</c:v>
                </c:pt>
              </c:numCache>
            </c:numRef>
          </c:val>
          <c:extLst>
            <c:ext xmlns:c16="http://schemas.microsoft.com/office/drawing/2014/chart" uri="{C3380CC4-5D6E-409C-BE32-E72D297353CC}">
              <c16:uniqueId val="{00000000-C243-40F6-8565-7FA8C1EFB68C}"/>
            </c:ext>
          </c:extLst>
        </c:ser>
        <c:dLbls>
          <c:showLegendKey val="0"/>
          <c:showVal val="0"/>
          <c:showCatName val="0"/>
          <c:showSerName val="0"/>
          <c:showPercent val="0"/>
          <c:showBubbleSize val="0"/>
        </c:dLbls>
        <c:gapWidth val="182"/>
        <c:axId val="192466656"/>
        <c:axId val="192422496"/>
      </c:barChart>
      <c:catAx>
        <c:axId val="1924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422496"/>
        <c:crosses val="autoZero"/>
        <c:auto val="1"/>
        <c:lblAlgn val="ctr"/>
        <c:lblOffset val="100"/>
        <c:noMultiLvlLbl val="0"/>
      </c:catAx>
      <c:valAx>
        <c:axId val="19242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4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Shares by Theme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Service Showcase</c:v>
                </c:pt>
                <c:pt idx="9">
                  <c:v>Wig Laundry Proceess</c:v>
                </c:pt>
                <c:pt idx="10">
                  <c:v>Wig Transformation</c:v>
                </c:pt>
              </c:strCache>
            </c:strRef>
          </c:cat>
          <c:val>
            <c:numRef>
              <c:f>Analysis!$R$4:$R$15</c:f>
              <c:numCache>
                <c:formatCode>General</c:formatCode>
                <c:ptCount val="11"/>
                <c:pt idx="0">
                  <c:v>0.5</c:v>
                </c:pt>
                <c:pt idx="1">
                  <c:v>0</c:v>
                </c:pt>
                <c:pt idx="2">
                  <c:v>2</c:v>
                </c:pt>
                <c:pt idx="3">
                  <c:v>1.6666666666666667</c:v>
                </c:pt>
                <c:pt idx="4">
                  <c:v>0</c:v>
                </c:pt>
                <c:pt idx="5">
                  <c:v>0</c:v>
                </c:pt>
                <c:pt idx="6">
                  <c:v>1</c:v>
                </c:pt>
                <c:pt idx="7">
                  <c:v>0</c:v>
                </c:pt>
                <c:pt idx="8">
                  <c:v>1</c:v>
                </c:pt>
                <c:pt idx="9">
                  <c:v>0</c:v>
                </c:pt>
                <c:pt idx="10">
                  <c:v>0</c:v>
                </c:pt>
              </c:numCache>
            </c:numRef>
          </c:val>
          <c:extLst>
            <c:ext xmlns:c16="http://schemas.microsoft.com/office/drawing/2014/chart" uri="{C3380CC4-5D6E-409C-BE32-E72D297353CC}">
              <c16:uniqueId val="{00000000-6557-42A4-9499-4B568499031A}"/>
            </c:ext>
          </c:extLst>
        </c:ser>
        <c:dLbls>
          <c:showLegendKey val="0"/>
          <c:showVal val="0"/>
          <c:showCatName val="0"/>
          <c:showSerName val="0"/>
          <c:showPercent val="0"/>
          <c:showBubbleSize val="0"/>
        </c:dLbls>
        <c:gapWidth val="182"/>
        <c:axId val="192466656"/>
        <c:axId val="192422496"/>
      </c:barChart>
      <c:catAx>
        <c:axId val="1924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422496"/>
        <c:crosses val="autoZero"/>
        <c:auto val="1"/>
        <c:lblAlgn val="ctr"/>
        <c:lblOffset val="100"/>
        <c:noMultiLvlLbl val="0"/>
      </c:catAx>
      <c:valAx>
        <c:axId val="19242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246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Themes by </a:t>
            </a:r>
            <a:r>
              <a:rPr lang="en-US" b="1">
                <a:solidFill>
                  <a:schemeClr val="tx1"/>
                </a:solidFill>
              </a:rPr>
              <a:t>Average</a:t>
            </a:r>
            <a:r>
              <a:rPr lang="en-US" b="1" baseline="0">
                <a:solidFill>
                  <a:schemeClr val="tx1"/>
                </a:solidFill>
              </a:rPr>
              <a:t> Views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Wig Laundry Proceess</c:v>
                </c:pt>
                <c:pt idx="9">
                  <c:v>Wig Transformation</c:v>
                </c:pt>
                <c:pt idx="10">
                  <c:v>Service Showcase</c:v>
                </c:pt>
              </c:strCache>
            </c:strRef>
          </c:cat>
          <c:val>
            <c:numRef>
              <c:f>Analysis!$B$4:$B$15</c:f>
              <c:numCache>
                <c:formatCode>General</c:formatCode>
                <c:ptCount val="11"/>
                <c:pt idx="0">
                  <c:v>2447</c:v>
                </c:pt>
                <c:pt idx="1">
                  <c:v>177</c:v>
                </c:pt>
                <c:pt idx="2">
                  <c:v>1991</c:v>
                </c:pt>
                <c:pt idx="3">
                  <c:v>1270</c:v>
                </c:pt>
                <c:pt idx="4">
                  <c:v>169</c:v>
                </c:pt>
                <c:pt idx="5">
                  <c:v>198</c:v>
                </c:pt>
                <c:pt idx="6">
                  <c:v>77</c:v>
                </c:pt>
                <c:pt idx="7">
                  <c:v>183</c:v>
                </c:pt>
                <c:pt idx="8">
                  <c:v>149</c:v>
                </c:pt>
                <c:pt idx="9">
                  <c:v>104.66666666666667</c:v>
                </c:pt>
                <c:pt idx="10">
                  <c:v>181</c:v>
                </c:pt>
              </c:numCache>
            </c:numRef>
          </c:val>
          <c:extLst>
            <c:ext xmlns:c16="http://schemas.microsoft.com/office/drawing/2014/chart" uri="{C3380CC4-5D6E-409C-BE32-E72D297353CC}">
              <c16:uniqueId val="{00000000-7AF8-4B52-AF4A-3CB8B48C3D10}"/>
            </c:ext>
          </c:extLst>
        </c:ser>
        <c:dLbls>
          <c:dLblPos val="outEnd"/>
          <c:showLegendKey val="0"/>
          <c:showVal val="1"/>
          <c:showCatName val="0"/>
          <c:showSerName val="0"/>
          <c:showPercent val="0"/>
          <c:showBubbleSize val="0"/>
        </c:dLbls>
        <c:gapWidth val="150"/>
        <c:axId val="195777072"/>
        <c:axId val="195778512"/>
      </c:barChart>
      <c:catAx>
        <c:axId val="19577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78512"/>
        <c:crosses val="autoZero"/>
        <c:auto val="1"/>
        <c:lblAlgn val="ctr"/>
        <c:lblOffset val="100"/>
        <c:noMultiLvlLbl val="0"/>
      </c:catAx>
      <c:valAx>
        <c:axId val="195778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577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Performance Analysis for Flaire Fix.xlsx]Analysis!PivotTable2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Themes by </a:t>
            </a:r>
            <a:r>
              <a:rPr lang="en-US" b="1" baseline="0">
                <a:solidFill>
                  <a:schemeClr val="tx1"/>
                </a:solidFill>
              </a:rPr>
              <a:t>Engagement Rate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Analysis!$E$4:$E$15</c:f>
              <c:strCache>
                <c:ptCount val="11"/>
                <c:pt idx="0">
                  <c:v>Educational Content</c:v>
                </c:pt>
                <c:pt idx="1">
                  <c:v>Flaire Bun Packaging showcase</c:v>
                </c:pt>
                <c:pt idx="2">
                  <c:v>Flaire Bun product promotion</c:v>
                </c:pt>
                <c:pt idx="3">
                  <c:v>Flaire Bun promotion</c:v>
                </c:pt>
                <c:pt idx="4">
                  <c:v>Packaging &amp; Orders</c:v>
                </c:pt>
                <c:pt idx="5">
                  <c:v>Patronage proof</c:v>
                </c:pt>
                <c:pt idx="6">
                  <c:v>Process Video</c:v>
                </c:pt>
                <c:pt idx="7">
                  <c:v>Service Promotion</c:v>
                </c:pt>
                <c:pt idx="8">
                  <c:v>Service Showcase</c:v>
                </c:pt>
                <c:pt idx="9">
                  <c:v>Wig Laundry Proceess</c:v>
                </c:pt>
                <c:pt idx="10">
                  <c:v>Wig Transformation</c:v>
                </c:pt>
              </c:strCache>
            </c:strRef>
          </c:cat>
          <c:val>
            <c:numRef>
              <c:f>Analysis!$F$4:$F$15</c:f>
              <c:numCache>
                <c:formatCode>0.00%</c:formatCode>
                <c:ptCount val="11"/>
                <c:pt idx="0">
                  <c:v>1.6119387959004052E-2</c:v>
                </c:pt>
                <c:pt idx="1">
                  <c:v>4.519774011299435E-2</c:v>
                </c:pt>
                <c:pt idx="2">
                  <c:v>2.7043569782981204E-2</c:v>
                </c:pt>
                <c:pt idx="3">
                  <c:v>2.6346381584981874E-2</c:v>
                </c:pt>
                <c:pt idx="4">
                  <c:v>4.7337278106508875E-2</c:v>
                </c:pt>
                <c:pt idx="5">
                  <c:v>2.0202020202020204E-2</c:v>
                </c:pt>
                <c:pt idx="6">
                  <c:v>7.792207792207792E-2</c:v>
                </c:pt>
                <c:pt idx="7">
                  <c:v>3.825136612021858E-2</c:v>
                </c:pt>
                <c:pt idx="8">
                  <c:v>3.3149171270718231E-2</c:v>
                </c:pt>
                <c:pt idx="9">
                  <c:v>2.0134228187919462E-2</c:v>
                </c:pt>
                <c:pt idx="10">
                  <c:v>6.1253821080542468E-2</c:v>
                </c:pt>
              </c:numCache>
            </c:numRef>
          </c:val>
          <c:extLst>
            <c:ext xmlns:c16="http://schemas.microsoft.com/office/drawing/2014/chart" uri="{C3380CC4-5D6E-409C-BE32-E72D297353CC}">
              <c16:uniqueId val="{00000000-3E0F-4278-A021-8613776A34E8}"/>
            </c:ext>
          </c:extLst>
        </c:ser>
        <c:dLbls>
          <c:dLblPos val="outEnd"/>
          <c:showLegendKey val="0"/>
          <c:showVal val="1"/>
          <c:showCatName val="0"/>
          <c:showSerName val="0"/>
          <c:showPercent val="0"/>
          <c:showBubbleSize val="0"/>
        </c:dLbls>
        <c:gapWidth val="182"/>
        <c:axId val="2030365328"/>
        <c:axId val="2030365808"/>
      </c:barChart>
      <c:catAx>
        <c:axId val="20303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0365808"/>
        <c:crosses val="autoZero"/>
        <c:auto val="1"/>
        <c:lblAlgn val="ctr"/>
        <c:lblOffset val="100"/>
        <c:noMultiLvlLbl val="0"/>
      </c:catAx>
      <c:valAx>
        <c:axId val="20303658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03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304800</xdr:colOff>
      <xdr:row>16</xdr:row>
      <xdr:rowOff>23812</xdr:rowOff>
    </xdr:from>
    <xdr:to>
      <xdr:col>6</xdr:col>
      <xdr:colOff>114300</xdr:colOff>
      <xdr:row>30</xdr:row>
      <xdr:rowOff>100012</xdr:rowOff>
    </xdr:to>
    <xdr:graphicFrame macro="">
      <xdr:nvGraphicFramePr>
        <xdr:cNvPr id="2" name="Chart 1">
          <a:extLst>
            <a:ext uri="{FF2B5EF4-FFF2-40B4-BE49-F238E27FC236}">
              <a16:creationId xmlns:a16="http://schemas.microsoft.com/office/drawing/2014/main" id="{7AB52FD4-F522-1597-3828-2D574BD80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447675</xdr:colOff>
      <xdr:row>16</xdr:row>
      <xdr:rowOff>61912</xdr:rowOff>
    </xdr:from>
    <xdr:to>
      <xdr:col>11</xdr:col>
      <xdr:colOff>400050</xdr:colOff>
      <xdr:row>30</xdr:row>
      <xdr:rowOff>138112</xdr:rowOff>
    </xdr:to>
    <xdr:graphicFrame macro="">
      <xdr:nvGraphicFramePr>
        <xdr:cNvPr id="3" name="Chart 2">
          <a:extLst>
            <a:ext uri="{FF2B5EF4-FFF2-40B4-BE49-F238E27FC236}">
              <a16:creationId xmlns:a16="http://schemas.microsoft.com/office/drawing/2014/main" id="{81DA2BB2-2AF6-4C39-3106-1825E9F10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238125</xdr:colOff>
      <xdr:row>16</xdr:row>
      <xdr:rowOff>147637</xdr:rowOff>
    </xdr:from>
    <xdr:to>
      <xdr:col>16</xdr:col>
      <xdr:colOff>447675</xdr:colOff>
      <xdr:row>31</xdr:row>
      <xdr:rowOff>33337</xdr:rowOff>
    </xdr:to>
    <xdr:graphicFrame macro="">
      <xdr:nvGraphicFramePr>
        <xdr:cNvPr id="4" name="Chart 3">
          <a:extLst>
            <a:ext uri="{FF2B5EF4-FFF2-40B4-BE49-F238E27FC236}">
              <a16:creationId xmlns:a16="http://schemas.microsoft.com/office/drawing/2014/main" id="{032C974A-3F70-165F-6875-6F69C969C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962025</xdr:colOff>
      <xdr:row>16</xdr:row>
      <xdr:rowOff>109537</xdr:rowOff>
    </xdr:from>
    <xdr:to>
      <xdr:col>22</xdr:col>
      <xdr:colOff>209550</xdr:colOff>
      <xdr:row>30</xdr:row>
      <xdr:rowOff>185737</xdr:rowOff>
    </xdr:to>
    <xdr:graphicFrame macro="">
      <xdr:nvGraphicFramePr>
        <xdr:cNvPr id="5" name="Chart 4">
          <a:extLst>
            <a:ext uri="{FF2B5EF4-FFF2-40B4-BE49-F238E27FC236}">
              <a16:creationId xmlns:a16="http://schemas.microsoft.com/office/drawing/2014/main" id="{ACFFC7E9-A6B0-E5BB-AAA3-9981CB43C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1355725</xdr:colOff>
      <xdr:row>3</xdr:row>
      <xdr:rowOff>111125</xdr:rowOff>
    </xdr:from>
    <xdr:to>
      <xdr:col>10</xdr:col>
      <xdr:colOff>335492</xdr:colOff>
      <xdr:row>16</xdr:row>
      <xdr:rowOff>158750</xdr:rowOff>
    </xdr:to>
    <mc:AlternateContent xmlns:mc="http://schemas.openxmlformats.org/markup-compatibility/2006" xmlns:a14="http://schemas.microsoft.com/office/drawing/2010/main">
      <mc:Choice Requires="a14">
        <xdr:graphicFrame macro="">
          <xdr:nvGraphicFramePr>
            <xdr:cNvPr id="7" name="Theme">
              <a:extLst>
                <a:ext uri="{FF2B5EF4-FFF2-40B4-BE49-F238E27FC236}">
                  <a16:creationId xmlns:a16="http://schemas.microsoft.com/office/drawing/2014/main" id="{238BFA8A-CF42-8310-3411-5B95D43DA368}"/>
                </a:ext>
                <a:ext uri="{147F2762-F138-4A5C-976F-8EAC2B608ADB}">
                  <a16:predDERef xmlns:a16="http://schemas.microsoft.com/office/drawing/2014/main" pred="{ACFFC7E9-A6B0-E5BB-AAA3-9981CB43CD9F}"/>
                </a:ext>
              </a:extLst>
            </xdr:cNvPr>
            <xdr:cNvGraphicFramePr/>
          </xdr:nvGraphicFramePr>
          <xdr:xfrm>
            <a:off x="0" y="0"/>
            <a:ext cx="0" cy="0"/>
          </xdr:xfrm>
          <a:graphic>
            <a:graphicData uri="http://schemas.microsoft.com/office/drawing/2010/slicer">
              <sle:slicer xmlns:sle="http://schemas.microsoft.com/office/drawing/2010/slicer" name="Theme"/>
            </a:graphicData>
          </a:graphic>
        </xdr:graphicFrame>
      </mc:Choice>
      <mc:Fallback xmlns="">
        <xdr:sp macro="" textlink="">
          <xdr:nvSpPr>
            <xdr:cNvPr id="0" name=""/>
            <xdr:cNvSpPr>
              <a:spLocks noTextEdit="1"/>
            </xdr:cNvSpPr>
          </xdr:nvSpPr>
          <xdr:spPr>
            <a:xfrm>
              <a:off x="9763125" y="2905125"/>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0</xdr:row>
      <xdr:rowOff>85724</xdr:rowOff>
    </xdr:from>
    <xdr:to>
      <xdr:col>18</xdr:col>
      <xdr:colOff>152400</xdr:colOff>
      <xdr:row>48</xdr:row>
      <xdr:rowOff>128221</xdr:rowOff>
    </xdr:to>
    <xdr:sp macro="" textlink="">
      <xdr:nvSpPr>
        <xdr:cNvPr id="2" name="Rectangle 1">
          <a:extLst>
            <a:ext uri="{FF2B5EF4-FFF2-40B4-BE49-F238E27FC236}">
              <a16:creationId xmlns:a16="http://schemas.microsoft.com/office/drawing/2014/main" id="{58AAEA9A-965F-3037-3F7E-A0189C251B61}"/>
            </a:ext>
          </a:extLst>
        </xdr:cNvPr>
        <xdr:cNvSpPr/>
      </xdr:nvSpPr>
      <xdr:spPr>
        <a:xfrm>
          <a:off x="238125" y="85724"/>
          <a:ext cx="10794756" cy="8834805"/>
        </a:xfrm>
        <a:prstGeom prst="rect">
          <a:avLst/>
        </a:prstGeom>
        <a:solidFill>
          <a:schemeClr val="bg1">
            <a:lumMod val="95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285750</xdr:colOff>
      <xdr:row>0</xdr:row>
      <xdr:rowOff>133351</xdr:rowOff>
    </xdr:from>
    <xdr:to>
      <xdr:col>18</xdr:col>
      <xdr:colOff>95249</xdr:colOff>
      <xdr:row>4</xdr:row>
      <xdr:rowOff>76201</xdr:rowOff>
    </xdr:to>
    <xdr:sp macro="" textlink="">
      <xdr:nvSpPr>
        <xdr:cNvPr id="3" name="Rectangle: Rounded Corners 2">
          <a:extLst>
            <a:ext uri="{FF2B5EF4-FFF2-40B4-BE49-F238E27FC236}">
              <a16:creationId xmlns:a16="http://schemas.microsoft.com/office/drawing/2014/main" id="{9BF6FA0E-00E0-8B59-76A3-00E5BF39CEF7}"/>
            </a:ext>
            <a:ext uri="{147F2762-F138-4A5C-976F-8EAC2B608ADB}">
              <a16:predDERef xmlns:a16="http://schemas.microsoft.com/office/drawing/2014/main" pred="{58AAEA9A-965F-3037-3F7E-A0189C251B61}"/>
            </a:ext>
          </a:extLst>
        </xdr:cNvPr>
        <xdr:cNvSpPr/>
      </xdr:nvSpPr>
      <xdr:spPr>
        <a:xfrm>
          <a:off x="285750" y="133351"/>
          <a:ext cx="10719954" cy="693305"/>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FlaireFix </a:t>
          </a:r>
          <a:r>
            <a:rPr lang="en-US" sz="2000" b="1" baseline="0">
              <a:solidFill>
                <a:schemeClr val="tx1"/>
              </a:solidFill>
            </a:rPr>
            <a:t>Instagram Content Performance Dashboard</a:t>
          </a:r>
          <a:endParaRPr lang="en-NG" sz="2000" b="1">
            <a:solidFill>
              <a:schemeClr val="tx1"/>
            </a:solidFill>
          </a:endParaRPr>
        </a:p>
      </xdr:txBody>
    </xdr:sp>
    <xdr:clientData/>
  </xdr:twoCellAnchor>
  <xdr:twoCellAnchor>
    <xdr:from>
      <xdr:col>0</xdr:col>
      <xdr:colOff>390526</xdr:colOff>
      <xdr:row>5</xdr:row>
      <xdr:rowOff>38100</xdr:rowOff>
    </xdr:from>
    <xdr:to>
      <xdr:col>4</xdr:col>
      <xdr:colOff>457200</xdr:colOff>
      <xdr:row>8</xdr:row>
      <xdr:rowOff>171450</xdr:rowOff>
    </xdr:to>
    <xdr:sp macro="" textlink="Analysis!$B$18">
      <xdr:nvSpPr>
        <xdr:cNvPr id="4" name="Rectangle: Rounded Corners 3">
          <a:extLst>
            <a:ext uri="{FF2B5EF4-FFF2-40B4-BE49-F238E27FC236}">
              <a16:creationId xmlns:a16="http://schemas.microsoft.com/office/drawing/2014/main" id="{F5894024-C904-4BF3-B325-E593DC25A4EF}"/>
            </a:ext>
          </a:extLst>
        </xdr:cNvPr>
        <xdr:cNvSpPr/>
      </xdr:nvSpPr>
      <xdr:spPr>
        <a:xfrm>
          <a:off x="390526" y="990600"/>
          <a:ext cx="2505074" cy="704850"/>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9EC4DA-7151-400E-AB59-679D6CF62CA3}" type="TxLink">
            <a:rPr lang="en-US" sz="1800" b="0" i="0" u="none" strike="noStrike">
              <a:solidFill>
                <a:srgbClr val="000000"/>
              </a:solidFill>
              <a:latin typeface="Calibri"/>
              <a:cs typeface="Calibri"/>
            </a:rPr>
            <a:pPr algn="ctr"/>
            <a:t>20</a:t>
          </a:fld>
          <a:endParaRPr lang="en-NG" sz="1800"/>
        </a:p>
      </xdr:txBody>
    </xdr:sp>
    <xdr:clientData/>
  </xdr:twoCellAnchor>
  <xdr:twoCellAnchor>
    <xdr:from>
      <xdr:col>5</xdr:col>
      <xdr:colOff>9525</xdr:colOff>
      <xdr:row>5</xdr:row>
      <xdr:rowOff>38100</xdr:rowOff>
    </xdr:from>
    <xdr:to>
      <xdr:col>9</xdr:col>
      <xdr:colOff>76199</xdr:colOff>
      <xdr:row>8</xdr:row>
      <xdr:rowOff>171450</xdr:rowOff>
    </xdr:to>
    <xdr:sp macro="" textlink="Analysis!$B$19">
      <xdr:nvSpPr>
        <xdr:cNvPr id="11" name="Rectangle: Rounded Corners 10">
          <a:extLst>
            <a:ext uri="{FF2B5EF4-FFF2-40B4-BE49-F238E27FC236}">
              <a16:creationId xmlns:a16="http://schemas.microsoft.com/office/drawing/2014/main" id="{843F7924-B184-49C6-A24D-9363C1680BA1}"/>
            </a:ext>
          </a:extLst>
        </xdr:cNvPr>
        <xdr:cNvSpPr/>
      </xdr:nvSpPr>
      <xdr:spPr>
        <a:xfrm>
          <a:off x="3057525" y="990600"/>
          <a:ext cx="2505074" cy="704850"/>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24BADC3-044B-4570-AB29-17CC0593FB44}" type="TxLink">
            <a:rPr lang="en-US" sz="1800" b="0" i="0" u="none" strike="noStrike">
              <a:solidFill>
                <a:srgbClr val="000000"/>
              </a:solidFill>
              <a:latin typeface="Calibri"/>
              <a:cs typeface="Calibri"/>
            </a:rPr>
            <a:pPr algn="ctr"/>
            <a:t>897</a:t>
          </a:fld>
          <a:endParaRPr lang="en-NG" sz="1800"/>
        </a:p>
      </xdr:txBody>
    </xdr:sp>
    <xdr:clientData/>
  </xdr:twoCellAnchor>
  <xdr:twoCellAnchor>
    <xdr:from>
      <xdr:col>9</xdr:col>
      <xdr:colOff>276225</xdr:colOff>
      <xdr:row>5</xdr:row>
      <xdr:rowOff>28575</xdr:rowOff>
    </xdr:from>
    <xdr:to>
      <xdr:col>13</xdr:col>
      <xdr:colOff>342899</xdr:colOff>
      <xdr:row>8</xdr:row>
      <xdr:rowOff>161925</xdr:rowOff>
    </xdr:to>
    <xdr:sp macro="" textlink="Analysis!$B$20">
      <xdr:nvSpPr>
        <xdr:cNvPr id="12" name="Rectangle: Rounded Corners 11">
          <a:extLst>
            <a:ext uri="{FF2B5EF4-FFF2-40B4-BE49-F238E27FC236}">
              <a16:creationId xmlns:a16="http://schemas.microsoft.com/office/drawing/2014/main" id="{594423CF-020B-445F-8581-01C93249C5E5}"/>
            </a:ext>
          </a:extLst>
        </xdr:cNvPr>
        <xdr:cNvSpPr/>
      </xdr:nvSpPr>
      <xdr:spPr>
        <a:xfrm>
          <a:off x="5716465" y="944440"/>
          <a:ext cx="2484559" cy="682870"/>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D8ADB4-FEFB-46C8-ABE4-89B143E1B80E}" type="TxLink">
            <a:rPr lang="en-US" sz="1800" b="0" i="0" u="none" strike="noStrike">
              <a:solidFill>
                <a:srgbClr val="000000"/>
              </a:solidFill>
              <a:latin typeface="Calibri"/>
              <a:cs typeface="Calibri"/>
            </a:rPr>
            <a:pPr algn="ctr"/>
            <a:t>3.55%</a:t>
          </a:fld>
          <a:endParaRPr lang="en-NG" sz="1800"/>
        </a:p>
      </xdr:txBody>
    </xdr:sp>
    <xdr:clientData/>
  </xdr:twoCellAnchor>
  <xdr:twoCellAnchor>
    <xdr:from>
      <xdr:col>13</xdr:col>
      <xdr:colOff>523875</xdr:colOff>
      <xdr:row>5</xdr:row>
      <xdr:rowOff>19050</xdr:rowOff>
    </xdr:from>
    <xdr:to>
      <xdr:col>17</xdr:col>
      <xdr:colOff>590549</xdr:colOff>
      <xdr:row>8</xdr:row>
      <xdr:rowOff>152400</xdr:rowOff>
    </xdr:to>
    <xdr:sp macro="" textlink="Analysis!$B$21">
      <xdr:nvSpPr>
        <xdr:cNvPr id="13" name="Rectangle: Rounded Corners 12">
          <a:extLst>
            <a:ext uri="{FF2B5EF4-FFF2-40B4-BE49-F238E27FC236}">
              <a16:creationId xmlns:a16="http://schemas.microsoft.com/office/drawing/2014/main" id="{CFB527FD-6D1B-4090-B495-FEE2FFA7CAEF}"/>
            </a:ext>
          </a:extLst>
        </xdr:cNvPr>
        <xdr:cNvSpPr/>
      </xdr:nvSpPr>
      <xdr:spPr>
        <a:xfrm>
          <a:off x="8448675" y="971550"/>
          <a:ext cx="2505074" cy="704850"/>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05AA325-46B3-4807-8D55-65AE2DDC8859}" type="TxLink">
            <a:rPr lang="en-US" sz="1800" b="0" i="0" u="none" strike="noStrike">
              <a:solidFill>
                <a:srgbClr val="000000"/>
              </a:solidFill>
              <a:latin typeface="Calibri"/>
              <a:cs typeface="Calibri"/>
            </a:rPr>
            <a:pPr algn="ctr"/>
            <a:t>388</a:t>
          </a:fld>
          <a:endParaRPr lang="en-NG" sz="1800"/>
        </a:p>
      </xdr:txBody>
    </xdr:sp>
    <xdr:clientData/>
  </xdr:twoCellAnchor>
  <xdr:oneCellAnchor>
    <xdr:from>
      <xdr:col>1</xdr:col>
      <xdr:colOff>288637</xdr:colOff>
      <xdr:row>5</xdr:row>
      <xdr:rowOff>86591</xdr:rowOff>
    </xdr:from>
    <xdr:ext cx="1456057" cy="532891"/>
    <xdr:sp macro="" textlink="">
      <xdr:nvSpPr>
        <xdr:cNvPr id="15" name="TextBox 14">
          <a:extLst>
            <a:ext uri="{FF2B5EF4-FFF2-40B4-BE49-F238E27FC236}">
              <a16:creationId xmlns:a16="http://schemas.microsoft.com/office/drawing/2014/main" id="{96D04702-1CA1-0D7E-94FE-BA6F5319E944}"/>
            </a:ext>
          </a:extLst>
        </xdr:cNvPr>
        <xdr:cNvSpPr txBox="1"/>
      </xdr:nvSpPr>
      <xdr:spPr>
        <a:xfrm>
          <a:off x="894773" y="1024659"/>
          <a:ext cx="1456057" cy="532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a:t>Total</a:t>
          </a:r>
          <a:r>
            <a:rPr lang="en-US" sz="1800" baseline="0"/>
            <a:t> Posts</a:t>
          </a:r>
          <a:endParaRPr lang="en-NG" sz="1800"/>
        </a:p>
      </xdr:txBody>
    </xdr:sp>
    <xdr:clientData/>
  </xdr:oneCellAnchor>
  <xdr:oneCellAnchor>
    <xdr:from>
      <xdr:col>5</xdr:col>
      <xdr:colOff>519545</xdr:colOff>
      <xdr:row>5</xdr:row>
      <xdr:rowOff>43297</xdr:rowOff>
    </xdr:from>
    <xdr:ext cx="1414318" cy="605050"/>
    <xdr:sp macro="" textlink="">
      <xdr:nvSpPr>
        <xdr:cNvPr id="16" name="TextBox 15">
          <a:extLst>
            <a:ext uri="{FF2B5EF4-FFF2-40B4-BE49-F238E27FC236}">
              <a16:creationId xmlns:a16="http://schemas.microsoft.com/office/drawing/2014/main" id="{D3362936-C049-9AA5-140F-5C9C88DCC8E0}"/>
            </a:ext>
          </a:extLst>
        </xdr:cNvPr>
        <xdr:cNvSpPr txBox="1"/>
      </xdr:nvSpPr>
      <xdr:spPr>
        <a:xfrm>
          <a:off x="3550227" y="981365"/>
          <a:ext cx="1414318" cy="60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a:t>Avg. Views</a:t>
          </a:r>
          <a:endParaRPr lang="en-NG" sz="1800"/>
        </a:p>
      </xdr:txBody>
    </xdr:sp>
    <xdr:clientData/>
  </xdr:oneCellAnchor>
  <xdr:oneCellAnchor>
    <xdr:from>
      <xdr:col>9</xdr:col>
      <xdr:colOff>360797</xdr:colOff>
      <xdr:row>5</xdr:row>
      <xdr:rowOff>43296</xdr:rowOff>
    </xdr:from>
    <xdr:ext cx="2323521" cy="648345"/>
    <xdr:sp macro="" textlink="">
      <xdr:nvSpPr>
        <xdr:cNvPr id="17" name="TextBox 16">
          <a:extLst>
            <a:ext uri="{FF2B5EF4-FFF2-40B4-BE49-F238E27FC236}">
              <a16:creationId xmlns:a16="http://schemas.microsoft.com/office/drawing/2014/main" id="{2333AC8F-C7F2-766B-C946-5F95D01F071A}"/>
            </a:ext>
          </a:extLst>
        </xdr:cNvPr>
        <xdr:cNvSpPr txBox="1"/>
      </xdr:nvSpPr>
      <xdr:spPr>
        <a:xfrm>
          <a:off x="5816024" y="981364"/>
          <a:ext cx="2323521" cy="648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a:t>Avg. Engagement Rate</a:t>
          </a:r>
          <a:endParaRPr lang="en-NG" sz="1800"/>
        </a:p>
      </xdr:txBody>
    </xdr:sp>
    <xdr:clientData/>
  </xdr:oneCellAnchor>
  <xdr:oneCellAnchor>
    <xdr:from>
      <xdr:col>13</xdr:col>
      <xdr:colOff>533977</xdr:colOff>
      <xdr:row>5</xdr:row>
      <xdr:rowOff>28864</xdr:rowOff>
    </xdr:from>
    <xdr:ext cx="2496705" cy="532891"/>
    <xdr:sp macro="" textlink="">
      <xdr:nvSpPr>
        <xdr:cNvPr id="18" name="TextBox 17">
          <a:extLst>
            <a:ext uri="{FF2B5EF4-FFF2-40B4-BE49-F238E27FC236}">
              <a16:creationId xmlns:a16="http://schemas.microsoft.com/office/drawing/2014/main" id="{BCEB8A6F-A738-83B3-F9AA-511E86F21B26}"/>
            </a:ext>
          </a:extLst>
        </xdr:cNvPr>
        <xdr:cNvSpPr txBox="1"/>
      </xdr:nvSpPr>
      <xdr:spPr>
        <a:xfrm>
          <a:off x="8413750" y="966932"/>
          <a:ext cx="2496705" cy="532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a:t>Total Engagement</a:t>
          </a:r>
          <a:endParaRPr lang="en-NG" sz="1800"/>
        </a:p>
      </xdr:txBody>
    </xdr:sp>
    <xdr:clientData/>
  </xdr:oneCellAnchor>
  <xdr:twoCellAnchor>
    <xdr:from>
      <xdr:col>0</xdr:col>
      <xdr:colOff>384663</xdr:colOff>
      <xdr:row>9</xdr:row>
      <xdr:rowOff>143452</xdr:rowOff>
    </xdr:from>
    <xdr:to>
      <xdr:col>4</xdr:col>
      <xdr:colOff>457932</xdr:colOff>
      <xdr:row>13</xdr:row>
      <xdr:rowOff>82826</xdr:rowOff>
    </xdr:to>
    <xdr:sp macro="" textlink="">
      <xdr:nvSpPr>
        <xdr:cNvPr id="19" name="Rectangle: Rounded Corners 18">
          <a:extLst>
            <a:ext uri="{FF2B5EF4-FFF2-40B4-BE49-F238E27FC236}">
              <a16:creationId xmlns:a16="http://schemas.microsoft.com/office/drawing/2014/main" id="{C396B208-A733-4919-879E-12FA9E4A12E5}"/>
            </a:ext>
          </a:extLst>
        </xdr:cNvPr>
        <xdr:cNvSpPr/>
      </xdr:nvSpPr>
      <xdr:spPr>
        <a:xfrm>
          <a:off x="384663" y="1792010"/>
          <a:ext cx="2491154" cy="672066"/>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a:solidFill>
                <a:schemeClr val="tx1"/>
              </a:solidFill>
            </a:rPr>
            <a:t>May</a:t>
          </a:r>
          <a:r>
            <a:rPr lang="en-US" sz="1800" baseline="0">
              <a:solidFill>
                <a:schemeClr val="tx1"/>
              </a:solidFill>
            </a:rPr>
            <a:t>  15 - June 25 </a:t>
          </a:r>
          <a:endParaRPr lang="en-NG" sz="1800">
            <a:solidFill>
              <a:schemeClr val="tx1"/>
            </a:solidFill>
          </a:endParaRPr>
        </a:p>
      </xdr:txBody>
    </xdr:sp>
    <xdr:clientData/>
  </xdr:twoCellAnchor>
  <xdr:oneCellAnchor>
    <xdr:from>
      <xdr:col>2</xdr:col>
      <xdr:colOff>216634</xdr:colOff>
      <xdr:row>10</xdr:row>
      <xdr:rowOff>14432</xdr:rowOff>
    </xdr:from>
    <xdr:ext cx="629404" cy="677209"/>
    <xdr:sp macro="" textlink="">
      <xdr:nvSpPr>
        <xdr:cNvPr id="20" name="TextBox 19">
          <a:extLst>
            <a:ext uri="{FF2B5EF4-FFF2-40B4-BE49-F238E27FC236}">
              <a16:creationId xmlns:a16="http://schemas.microsoft.com/office/drawing/2014/main" id="{C221D45C-98BF-9C95-B684-98A4D2915770}"/>
            </a:ext>
          </a:extLst>
        </xdr:cNvPr>
        <xdr:cNvSpPr txBox="1"/>
      </xdr:nvSpPr>
      <xdr:spPr>
        <a:xfrm>
          <a:off x="1428907" y="1890568"/>
          <a:ext cx="629404" cy="677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a:t>Date</a:t>
          </a:r>
          <a:endParaRPr lang="en-NG" sz="1800"/>
        </a:p>
      </xdr:txBody>
    </xdr:sp>
    <xdr:clientData/>
  </xdr:oneCellAnchor>
  <xdr:twoCellAnchor>
    <xdr:from>
      <xdr:col>5</xdr:col>
      <xdr:colOff>110700</xdr:colOff>
      <xdr:row>9</xdr:row>
      <xdr:rowOff>144318</xdr:rowOff>
    </xdr:from>
    <xdr:to>
      <xdr:col>11</xdr:col>
      <xdr:colOff>345374</xdr:colOff>
      <xdr:row>28</xdr:row>
      <xdr:rowOff>115454</xdr:rowOff>
    </xdr:to>
    <xdr:sp macro="" textlink="">
      <xdr:nvSpPr>
        <xdr:cNvPr id="24" name="Rectangle: Rounded Corners 23">
          <a:extLst>
            <a:ext uri="{FF2B5EF4-FFF2-40B4-BE49-F238E27FC236}">
              <a16:creationId xmlns:a16="http://schemas.microsoft.com/office/drawing/2014/main" id="{55730144-AE9B-48C6-BAF9-F6D04190CE64}"/>
            </a:ext>
          </a:extLst>
        </xdr:cNvPr>
        <xdr:cNvSpPr/>
      </xdr:nvSpPr>
      <xdr:spPr>
        <a:xfrm>
          <a:off x="3133056" y="1792876"/>
          <a:ext cx="3861501" cy="3451424"/>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a:p>
      </xdr:txBody>
    </xdr:sp>
    <xdr:clientData/>
  </xdr:twoCellAnchor>
  <xdr:twoCellAnchor>
    <xdr:from>
      <xdr:col>5</xdr:col>
      <xdr:colOff>109905</xdr:colOff>
      <xdr:row>29</xdr:row>
      <xdr:rowOff>85723</xdr:rowOff>
    </xdr:from>
    <xdr:to>
      <xdr:col>11</xdr:col>
      <xdr:colOff>348030</xdr:colOff>
      <xdr:row>48</xdr:row>
      <xdr:rowOff>91585</xdr:rowOff>
    </xdr:to>
    <xdr:sp macro="" textlink="">
      <xdr:nvSpPr>
        <xdr:cNvPr id="26" name="Rectangle: Rounded Corners 25">
          <a:extLst>
            <a:ext uri="{FF2B5EF4-FFF2-40B4-BE49-F238E27FC236}">
              <a16:creationId xmlns:a16="http://schemas.microsoft.com/office/drawing/2014/main" id="{2905FFDE-69B2-4E73-8ABF-918D317B87EE}"/>
            </a:ext>
          </a:extLst>
        </xdr:cNvPr>
        <xdr:cNvSpPr/>
      </xdr:nvSpPr>
      <xdr:spPr>
        <a:xfrm>
          <a:off x="3132261" y="5397742"/>
          <a:ext cx="3864952" cy="3486151"/>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395210</xdr:colOff>
      <xdr:row>29</xdr:row>
      <xdr:rowOff>67406</xdr:rowOff>
    </xdr:from>
    <xdr:to>
      <xdr:col>11</xdr:col>
      <xdr:colOff>409642</xdr:colOff>
      <xdr:row>48</xdr:row>
      <xdr:rowOff>24977</xdr:rowOff>
    </xdr:to>
    <xdr:graphicFrame macro="">
      <xdr:nvGraphicFramePr>
        <xdr:cNvPr id="29" name="Chart 28">
          <a:extLst>
            <a:ext uri="{FF2B5EF4-FFF2-40B4-BE49-F238E27FC236}">
              <a16:creationId xmlns:a16="http://schemas.microsoft.com/office/drawing/2014/main" id="{41D6BA70-4C6B-4FE5-822A-2DB25C726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472800</xdr:colOff>
      <xdr:row>9</xdr:row>
      <xdr:rowOff>113332</xdr:rowOff>
    </xdr:from>
    <xdr:to>
      <xdr:col>18</xdr:col>
      <xdr:colOff>100082</xdr:colOff>
      <xdr:row>28</xdr:row>
      <xdr:rowOff>84468</xdr:rowOff>
    </xdr:to>
    <xdr:sp macro="" textlink="">
      <xdr:nvSpPr>
        <xdr:cNvPr id="6" name="Rectangle: Rounded Corners 5">
          <a:extLst>
            <a:ext uri="{FF2B5EF4-FFF2-40B4-BE49-F238E27FC236}">
              <a16:creationId xmlns:a16="http://schemas.microsoft.com/office/drawing/2014/main" id="{ADDC25AB-C14F-4D4E-BA8A-35FD14C3ED5F}"/>
            </a:ext>
          </a:extLst>
        </xdr:cNvPr>
        <xdr:cNvSpPr/>
      </xdr:nvSpPr>
      <xdr:spPr>
        <a:xfrm>
          <a:off x="7154104" y="1852680"/>
          <a:ext cx="3879021" cy="3643092"/>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92383</xdr:colOff>
      <xdr:row>9</xdr:row>
      <xdr:rowOff>144317</xdr:rowOff>
    </xdr:from>
    <xdr:to>
      <xdr:col>11</xdr:col>
      <xdr:colOff>146538</xdr:colOff>
      <xdr:row>28</xdr:row>
      <xdr:rowOff>91586</xdr:rowOff>
    </xdr:to>
    <xdr:graphicFrame macro="">
      <xdr:nvGraphicFramePr>
        <xdr:cNvPr id="8" name="Chart 7">
          <a:extLst>
            <a:ext uri="{FF2B5EF4-FFF2-40B4-BE49-F238E27FC236}">
              <a16:creationId xmlns:a16="http://schemas.microsoft.com/office/drawing/2014/main" id="{B72B1019-D2C6-4192-8829-41012D5FD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504921</xdr:colOff>
      <xdr:row>9</xdr:row>
      <xdr:rowOff>146538</xdr:rowOff>
    </xdr:from>
    <xdr:to>
      <xdr:col>17</xdr:col>
      <xdr:colOff>526567</xdr:colOff>
      <xdr:row>27</xdr:row>
      <xdr:rowOff>160828</xdr:rowOff>
    </xdr:to>
    <xdr:graphicFrame macro="">
      <xdr:nvGraphicFramePr>
        <xdr:cNvPr id="9" name="Chart 8">
          <a:extLst>
            <a:ext uri="{FF2B5EF4-FFF2-40B4-BE49-F238E27FC236}">
              <a16:creationId xmlns:a16="http://schemas.microsoft.com/office/drawing/2014/main" id="{3A953388-0601-45DB-97BD-25FE2D1EE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470633</xdr:colOff>
      <xdr:row>29</xdr:row>
      <xdr:rowOff>32155</xdr:rowOff>
    </xdr:from>
    <xdr:to>
      <xdr:col>18</xdr:col>
      <xdr:colOff>100836</xdr:colOff>
      <xdr:row>48</xdr:row>
      <xdr:rowOff>74652</xdr:rowOff>
    </xdr:to>
    <xdr:sp macro="" textlink="">
      <xdr:nvSpPr>
        <xdr:cNvPr id="10" name="Rectangle: Rounded Corners 9">
          <a:extLst>
            <a:ext uri="{FF2B5EF4-FFF2-40B4-BE49-F238E27FC236}">
              <a16:creationId xmlns:a16="http://schemas.microsoft.com/office/drawing/2014/main" id="{8704F8CD-EFFA-4C7A-8F56-C2AD9B638E31}"/>
            </a:ext>
            <a:ext uri="{147F2762-F138-4A5C-976F-8EAC2B608ADB}">
              <a16:predDERef xmlns:a16="http://schemas.microsoft.com/office/drawing/2014/main" pred="{3A953388-0601-45DB-97BD-25FE2D1EEFEC}"/>
            </a:ext>
          </a:extLst>
        </xdr:cNvPr>
        <xdr:cNvSpPr/>
      </xdr:nvSpPr>
      <xdr:spPr>
        <a:xfrm>
          <a:off x="7176233" y="5556655"/>
          <a:ext cx="3897403" cy="3661997"/>
        </a:xfrm>
        <a:prstGeom prst="roundRect">
          <a:avLst/>
        </a:prstGeom>
        <a:solidFill>
          <a:schemeClr val="accent1">
            <a:lumMod val="40000"/>
            <a:lumOff val="60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Top</a:t>
          </a:r>
          <a:r>
            <a:rPr lang="en-US" sz="1600" b="1" baseline="0">
              <a:solidFill>
                <a:schemeClr val="tx1">
                  <a:lumMod val="95000"/>
                  <a:lumOff val="5000"/>
                </a:schemeClr>
              </a:solidFill>
            </a:rPr>
            <a:t> Content Theme</a:t>
          </a:r>
        </a:p>
        <a:p>
          <a:pPr algn="l"/>
          <a:r>
            <a:rPr lang="en-US" sz="1600" baseline="0">
              <a:solidFill>
                <a:schemeClr val="tx1">
                  <a:lumMod val="95000"/>
                  <a:lumOff val="5000"/>
                </a:schemeClr>
              </a:solidFill>
            </a:rPr>
            <a:t>Flaire Bun product promotion</a:t>
          </a:r>
        </a:p>
        <a:p>
          <a:pPr algn="l"/>
          <a:endParaRPr lang="en-US" sz="1600" baseline="0">
            <a:solidFill>
              <a:schemeClr val="tx1">
                <a:lumMod val="95000"/>
                <a:lumOff val="5000"/>
              </a:schemeClr>
            </a:solidFill>
          </a:endParaRPr>
        </a:p>
        <a:p>
          <a:pPr algn="l"/>
          <a:r>
            <a:rPr lang="en-US" sz="1600" b="1" baseline="0">
              <a:solidFill>
                <a:schemeClr val="tx1">
                  <a:lumMod val="95000"/>
                  <a:lumOff val="5000"/>
                </a:schemeClr>
              </a:solidFill>
            </a:rPr>
            <a:t>Reason</a:t>
          </a:r>
          <a:r>
            <a:rPr lang="en-US" sz="1600" baseline="0">
              <a:solidFill>
                <a:schemeClr val="tx1">
                  <a:lumMod val="95000"/>
                  <a:lumOff val="5000"/>
                </a:schemeClr>
              </a:solidFill>
            </a:rPr>
            <a:t>: Consistently ranked among the strongest themes across views, engagement and shares while directly supporting product sales.</a:t>
          </a:r>
        </a:p>
        <a:p>
          <a:pPr algn="l"/>
          <a:endParaRPr lang="en-US" sz="1600" baseline="0">
            <a:solidFill>
              <a:schemeClr val="tx1">
                <a:lumMod val="95000"/>
                <a:lumOff val="5000"/>
              </a:schemeClr>
            </a:solidFill>
          </a:endParaRPr>
        </a:p>
        <a:p>
          <a:pPr algn="l"/>
          <a:r>
            <a:rPr lang="en-US" sz="1600" b="1" baseline="0">
              <a:solidFill>
                <a:schemeClr val="tx1">
                  <a:lumMod val="95000"/>
                  <a:lumOff val="5000"/>
                </a:schemeClr>
              </a:solidFill>
            </a:rPr>
            <a:t>Monthly  Action</a:t>
          </a:r>
          <a:r>
            <a:rPr lang="en-US" sz="1600" baseline="0">
              <a:solidFill>
                <a:schemeClr val="tx1">
                  <a:lumMod val="95000"/>
                  <a:lumOff val="5000"/>
                </a:schemeClr>
              </a:solidFill>
            </a:rPr>
            <a:t>: Increase the frequency of Flaire Bun product promotion content while  maintaining educational posts to sustain audience reach.</a:t>
          </a:r>
        </a:p>
        <a:p>
          <a:pPr algn="l"/>
          <a:endParaRPr lang="en-NG" sz="1600">
            <a:solidFill>
              <a:schemeClr val="tx1">
                <a:lumMod val="95000"/>
                <a:lumOff val="5000"/>
              </a:schemeClr>
            </a:solidFill>
          </a:endParaRPr>
        </a:p>
      </xdr:txBody>
    </xdr:sp>
    <xdr:clientData/>
  </xdr:twoCellAnchor>
  <xdr:twoCellAnchor editAs="oneCell">
    <xdr:from>
      <xdr:col>0</xdr:col>
      <xdr:colOff>332490</xdr:colOff>
      <xdr:row>14</xdr:row>
      <xdr:rowOff>91587</xdr:rowOff>
    </xdr:from>
    <xdr:to>
      <xdr:col>4</xdr:col>
      <xdr:colOff>549519</xdr:colOff>
      <xdr:row>48</xdr:row>
      <xdr:rowOff>36635</xdr:rowOff>
    </xdr:to>
    <mc:AlternateContent xmlns:mc="http://schemas.openxmlformats.org/markup-compatibility/2006" xmlns:a14="http://schemas.microsoft.com/office/drawing/2010/main">
      <mc:Choice Requires="a14">
        <xdr:graphicFrame macro="">
          <xdr:nvGraphicFramePr>
            <xdr:cNvPr id="21" name="Theme 1">
              <a:extLst>
                <a:ext uri="{FF2B5EF4-FFF2-40B4-BE49-F238E27FC236}">
                  <a16:creationId xmlns:a16="http://schemas.microsoft.com/office/drawing/2014/main" id="{56F82111-ECD2-4B9F-AE92-E1CB4FE40D64}"/>
                </a:ext>
              </a:extLst>
            </xdr:cNvPr>
            <xdr:cNvGraphicFramePr/>
          </xdr:nvGraphicFramePr>
          <xdr:xfrm>
            <a:off x="0" y="0"/>
            <a:ext cx="0" cy="0"/>
          </xdr:xfrm>
          <a:graphic>
            <a:graphicData uri="http://schemas.microsoft.com/office/drawing/2010/slicer">
              <sle:slicer xmlns:sle="http://schemas.microsoft.com/office/drawing/2010/slicer" name="Theme 1"/>
            </a:graphicData>
          </a:graphic>
        </xdr:graphicFrame>
      </mc:Choice>
      <mc:Fallback xmlns="">
        <xdr:sp macro="" textlink="">
          <xdr:nvSpPr>
            <xdr:cNvPr id="0" name=""/>
            <xdr:cNvSpPr>
              <a:spLocks noTextEdit="1"/>
            </xdr:cNvSpPr>
          </xdr:nvSpPr>
          <xdr:spPr>
            <a:xfrm>
              <a:off x="332490" y="2656010"/>
              <a:ext cx="2634914" cy="617293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ai" refreshedDate="46203.009204861111" createdVersion="8" refreshedVersion="8" minRefreshableVersion="3" recordCount="20" xr:uid="{ED516E6B-6887-4800-8981-4B93E16A5300}">
  <cacheSource type="worksheet">
    <worksheetSource name="Table1"/>
  </cacheSource>
  <cacheFields count="10">
    <cacheField name="Date" numFmtId="14">
      <sharedItems containsSemiMixedTypes="0" containsNonDate="0" containsDate="1" containsString="0" minDate="2026-05-15T00:00:00" maxDate="2026-06-25T00:00:00"/>
    </cacheField>
    <cacheField name="Content Type" numFmtId="0">
      <sharedItems/>
    </cacheField>
    <cacheField name="Theme" numFmtId="0">
      <sharedItems count="12">
        <s v="Flaire Bun promotion"/>
        <s v="Educational Content"/>
        <s v="Service Showcase"/>
        <s v="Process Video"/>
        <s v="Flaire Bun Packaging showcase"/>
        <s v="Wig Transformation"/>
        <s v="Patronage proof"/>
        <s v="Service Promotion"/>
        <s v="Flaire Bun product promotion"/>
        <s v="Wig Laundry Proceess"/>
        <s v="Packaging &amp; Orders"/>
        <s v="Wig Video" u="1"/>
      </sharedItems>
    </cacheField>
    <cacheField name="Views" numFmtId="0">
      <sharedItems containsSemiMixedTypes="0" containsString="0" containsNumber="1" containsInteger="1" minValue="43" maxValue="2842"/>
    </cacheField>
    <cacheField name="Likes" numFmtId="0">
      <sharedItems containsSemiMixedTypes="0" containsString="0" containsNumber="1" containsInteger="1" minValue="0" maxValue="58"/>
    </cacheField>
    <cacheField name="Comments" numFmtId="0">
      <sharedItems containsSemiMixedTypes="0" containsString="0" containsNumber="1" containsInteger="1" minValue="0" maxValue="6"/>
    </cacheField>
    <cacheField name="Saves" numFmtId="0">
      <sharedItems containsSemiMixedTypes="0" containsString="0" containsNumber="1" containsInteger="1" minValue="0" maxValue="5"/>
    </cacheField>
    <cacheField name="Shares" numFmtId="0">
      <sharedItems containsSemiMixedTypes="0" containsString="0" containsNumber="1" containsInteger="1" minValue="0" maxValue="4"/>
    </cacheField>
    <cacheField name="Total Engagement" numFmtId="0">
      <sharedItems containsSemiMixedTypes="0" containsString="0" containsNumber="1" containsInteger="1" minValue="1" maxValue="71"/>
    </cacheField>
    <cacheField name="Engagement Rate" numFmtId="10">
      <sharedItems containsSemiMixedTypes="0" containsString="0" containsNumber="1" minValue="2.6595744680851063E-3" maxValue="0.13953488372093023"/>
    </cacheField>
  </cacheFields>
  <extLst>
    <ext xmlns:x14="http://schemas.microsoft.com/office/spreadsheetml/2009/9/main" uri="{725AE2AE-9491-48be-B2B4-4EB974FC3084}">
      <x14:pivotCacheDefinition pivotCacheId="1191446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6-05-15T00:00:00"/>
    <s v="Reels"/>
    <x v="0"/>
    <n v="2842"/>
    <n v="53"/>
    <n v="0"/>
    <n v="0"/>
    <n v="4"/>
    <n v="57"/>
    <n v="2.0056298381421533E-2"/>
  </r>
  <r>
    <d v="2026-05-18T00:00:00"/>
    <s v="Reels"/>
    <x v="0"/>
    <n v="1574"/>
    <n v="36"/>
    <n v="0"/>
    <n v="0"/>
    <n v="2"/>
    <n v="38"/>
    <n v="2.4142312579415501E-2"/>
  </r>
  <r>
    <d v="2026-05-19T00:00:00"/>
    <s v="Reels"/>
    <x v="1"/>
    <n v="2151"/>
    <n v="27"/>
    <n v="0"/>
    <n v="0"/>
    <n v="0"/>
    <n v="27"/>
    <n v="1.2552301255230125E-2"/>
  </r>
  <r>
    <d v="2026-05-19T00:00:00"/>
    <s v="Reels"/>
    <x v="1"/>
    <n v="2743"/>
    <n v="53"/>
    <n v="0"/>
    <n v="0"/>
    <n v="1"/>
    <n v="54"/>
    <n v="1.9686474662777981E-2"/>
  </r>
  <r>
    <d v="2026-05-26T00:00:00"/>
    <s v="Reels"/>
    <x v="2"/>
    <n v="181"/>
    <n v="5"/>
    <n v="0"/>
    <n v="0"/>
    <n v="1"/>
    <n v="6"/>
    <n v="3.3149171270718231E-2"/>
  </r>
  <r>
    <d v="2026-05-26T00:00:00"/>
    <s v="Reels"/>
    <x v="0"/>
    <n v="376"/>
    <n v="0"/>
    <n v="0"/>
    <n v="0"/>
    <n v="1"/>
    <n v="1"/>
    <n v="2.6595744680851063E-3"/>
  </r>
  <r>
    <d v="2026-05-27T00:00:00"/>
    <s v="Reels"/>
    <x v="0"/>
    <n v="90"/>
    <n v="6"/>
    <n v="0"/>
    <n v="0"/>
    <n v="1"/>
    <n v="7"/>
    <n v="7.7777777777777779E-2"/>
  </r>
  <r>
    <d v="2026-05-28T00:00:00"/>
    <s v="Reels"/>
    <x v="3"/>
    <n v="77"/>
    <n v="5"/>
    <n v="0"/>
    <n v="0"/>
    <n v="1"/>
    <n v="6"/>
    <n v="7.792207792207792E-2"/>
  </r>
  <r>
    <d v="2026-05-30T00:00:00"/>
    <s v="Reels"/>
    <x v="0"/>
    <n v="1919"/>
    <n v="21"/>
    <n v="0"/>
    <n v="0"/>
    <n v="1"/>
    <n v="22"/>
    <n v="1.1464304325169358E-2"/>
  </r>
  <r>
    <d v="2026-06-01T00:00:00"/>
    <s v="Reels"/>
    <x v="4"/>
    <n v="177"/>
    <n v="8"/>
    <n v="0"/>
    <n v="0"/>
    <n v="0"/>
    <n v="8"/>
    <n v="4.519774011299435E-2"/>
  </r>
  <r>
    <d v="2026-06-03T00:00:00"/>
    <s v="Reels"/>
    <x v="0"/>
    <n v="819"/>
    <n v="17"/>
    <n v="0"/>
    <n v="0"/>
    <n v="1"/>
    <n v="18"/>
    <n v="2.197802197802198E-2"/>
  </r>
  <r>
    <d v="2026-06-05T00:00:00"/>
    <s v="Reels"/>
    <x v="5"/>
    <n v="136"/>
    <n v="4"/>
    <n v="0"/>
    <n v="0"/>
    <n v="0"/>
    <n v="4"/>
    <n v="2.9411764705882353E-2"/>
  </r>
  <r>
    <d v="2026-06-10T00:00:00"/>
    <s v="Reels"/>
    <x v="6"/>
    <n v="198"/>
    <n v="4"/>
    <n v="0"/>
    <n v="0"/>
    <n v="0"/>
    <n v="4"/>
    <n v="2.0202020202020204E-2"/>
  </r>
  <r>
    <d v="2026-06-12T00:00:00"/>
    <s v="Reels"/>
    <x v="7"/>
    <n v="183"/>
    <n v="7"/>
    <n v="0"/>
    <n v="0"/>
    <n v="0"/>
    <n v="7"/>
    <n v="3.825136612021858E-2"/>
  </r>
  <r>
    <d v="2026-06-13T00:00:00"/>
    <s v="Reels"/>
    <x v="8"/>
    <n v="2238"/>
    <n v="58"/>
    <n v="6"/>
    <n v="5"/>
    <n v="2"/>
    <n v="71"/>
    <n v="3.1724754244861486E-2"/>
  </r>
  <r>
    <d v="2026-06-14T00:00:00"/>
    <s v="Reels"/>
    <x v="8"/>
    <n v="1744"/>
    <n v="37"/>
    <n v="0"/>
    <n v="0"/>
    <n v="2"/>
    <n v="39"/>
    <n v="2.2362385321100919E-2"/>
  </r>
  <r>
    <d v="2026-06-16T00:00:00"/>
    <s v="Reels"/>
    <x v="9"/>
    <n v="149"/>
    <n v="2"/>
    <n v="1"/>
    <n v="0"/>
    <n v="0"/>
    <n v="3"/>
    <n v="2.0134228187919462E-2"/>
  </r>
  <r>
    <d v="2026-06-20T00:00:00"/>
    <s v="Reels"/>
    <x v="5"/>
    <n v="135"/>
    <n v="2"/>
    <n v="0"/>
    <n v="0"/>
    <n v="0"/>
    <n v="2"/>
    <n v="1.4814814814814815E-2"/>
  </r>
  <r>
    <d v="2026-06-22T00:00:00"/>
    <s v="Reels"/>
    <x v="5"/>
    <n v="43"/>
    <n v="4"/>
    <n v="2"/>
    <n v="0"/>
    <n v="0"/>
    <n v="6"/>
    <n v="0.13953488372093023"/>
  </r>
  <r>
    <d v="2026-06-24T00:00:00"/>
    <s v="Reels"/>
    <x v="10"/>
    <n v="169"/>
    <n v="6"/>
    <n v="2"/>
    <n v="0"/>
    <n v="0"/>
    <n v="8"/>
    <n v="4.733727810650887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1224C-55EB-4672-ABB2-9D19503B8F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5" firstHeaderRow="1" firstDataRow="1" firstDataCol="1"/>
  <pivotFields count="10">
    <pivotField numFmtId="14" showAll="0"/>
    <pivotField showAll="0"/>
    <pivotField axis="axisRow" showAll="0">
      <items count="13">
        <item x="1"/>
        <item x="4"/>
        <item x="8"/>
        <item x="0"/>
        <item x="10"/>
        <item x="6"/>
        <item x="3"/>
        <item x="7"/>
        <item x="9"/>
        <item x="5"/>
        <item m="1" x="11"/>
        <item x="2"/>
        <item t="default"/>
      </items>
    </pivotField>
    <pivotField dataField="1" showAll="0"/>
    <pivotField showAll="0"/>
    <pivotField showAll="0"/>
    <pivotField showAll="0"/>
    <pivotField showAll="0"/>
    <pivotField showAll="0"/>
    <pivotField numFmtId="10" showAll="0"/>
  </pivotFields>
  <rowFields count="1">
    <field x="2"/>
  </rowFields>
  <rowItems count="12">
    <i>
      <x/>
    </i>
    <i>
      <x v="1"/>
    </i>
    <i>
      <x v="2"/>
    </i>
    <i>
      <x v="3"/>
    </i>
    <i>
      <x v="4"/>
    </i>
    <i>
      <x v="5"/>
    </i>
    <i>
      <x v="6"/>
    </i>
    <i>
      <x v="7"/>
    </i>
    <i>
      <x v="8"/>
    </i>
    <i>
      <x v="9"/>
    </i>
    <i>
      <x v="11"/>
    </i>
    <i t="grand">
      <x/>
    </i>
  </rowItems>
  <colItems count="1">
    <i/>
  </colItems>
  <dataFields count="1">
    <dataField name="Average Views" fld="3" subtotal="average" baseField="2" baseItem="0"/>
  </dataFields>
  <chartFormats count="2">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F4CF5-9BE2-4720-804E-37772DFC0D3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R15" firstHeaderRow="1" firstDataRow="1" firstDataCol="1"/>
  <pivotFields count="10">
    <pivotField numFmtId="14" showAll="0"/>
    <pivotField showAll="0"/>
    <pivotField axis="axisRow" showAll="0">
      <items count="13">
        <item x="1"/>
        <item x="4"/>
        <item x="8"/>
        <item x="0"/>
        <item x="10"/>
        <item x="6"/>
        <item x="3"/>
        <item x="7"/>
        <item x="2"/>
        <item x="9"/>
        <item x="5"/>
        <item m="1" x="11"/>
        <item t="default"/>
      </items>
    </pivotField>
    <pivotField showAll="0"/>
    <pivotField showAll="0"/>
    <pivotField showAll="0"/>
    <pivotField showAll="0"/>
    <pivotField dataField="1" showAll="0"/>
    <pivotField showAll="0"/>
    <pivotField numFmtId="10" showAll="0"/>
  </pivotFields>
  <rowFields count="1">
    <field x="2"/>
  </rowFields>
  <rowItems count="12">
    <i>
      <x/>
    </i>
    <i>
      <x v="1"/>
    </i>
    <i>
      <x v="2"/>
    </i>
    <i>
      <x v="3"/>
    </i>
    <i>
      <x v="4"/>
    </i>
    <i>
      <x v="5"/>
    </i>
    <i>
      <x v="6"/>
    </i>
    <i>
      <x v="7"/>
    </i>
    <i>
      <x v="8"/>
    </i>
    <i>
      <x v="9"/>
    </i>
    <i>
      <x v="10"/>
    </i>
    <i t="grand">
      <x/>
    </i>
  </rowItems>
  <colItems count="1">
    <i/>
  </colItems>
  <dataFields count="1">
    <dataField name="Average Shares" fld="7" subtotal="average"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EA8FE-7B8C-42FE-9631-AF9159B3CE7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5" firstHeaderRow="1" firstDataRow="1" firstDataCol="1"/>
  <pivotFields count="10">
    <pivotField numFmtId="14" showAll="0"/>
    <pivotField showAll="0"/>
    <pivotField axis="axisRow" showAll="0">
      <items count="13">
        <item x="1"/>
        <item x="4"/>
        <item x="8"/>
        <item x="0"/>
        <item x="10"/>
        <item x="6"/>
        <item x="3"/>
        <item x="7"/>
        <item x="2"/>
        <item x="9"/>
        <item x="5"/>
        <item m="1" x="11"/>
        <item t="default"/>
      </items>
    </pivotField>
    <pivotField showAll="0"/>
    <pivotField showAll="0"/>
    <pivotField dataField="1" showAll="0"/>
    <pivotField showAll="0"/>
    <pivotField showAll="0"/>
    <pivotField showAll="0"/>
    <pivotField numFmtId="10" showAll="0"/>
  </pivotFields>
  <rowFields count="1">
    <field x="2"/>
  </rowFields>
  <rowItems count="12">
    <i>
      <x/>
    </i>
    <i>
      <x v="1"/>
    </i>
    <i>
      <x v="2"/>
    </i>
    <i>
      <x v="3"/>
    </i>
    <i>
      <x v="4"/>
    </i>
    <i>
      <x v="5"/>
    </i>
    <i>
      <x v="6"/>
    </i>
    <i>
      <x v="7"/>
    </i>
    <i>
      <x v="8"/>
    </i>
    <i>
      <x v="9"/>
    </i>
    <i>
      <x v="10"/>
    </i>
    <i t="grand">
      <x/>
    </i>
  </rowItems>
  <colItems count="1">
    <i/>
  </colItems>
  <dataFields count="1">
    <dataField name="Average Comments"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E57AFD-0531-456F-B162-9D9E1D55CE5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15" firstHeaderRow="1" firstDataRow="1" firstDataCol="1"/>
  <pivotFields count="10">
    <pivotField numFmtId="14" showAll="0"/>
    <pivotField showAll="0"/>
    <pivotField axis="axisRow" showAll="0">
      <items count="13">
        <item x="1"/>
        <item x="4"/>
        <item x="8"/>
        <item x="0"/>
        <item x="10"/>
        <item x="6"/>
        <item x="3"/>
        <item x="7"/>
        <item x="2"/>
        <item x="9"/>
        <item x="5"/>
        <item m="1" x="11"/>
        <item t="default"/>
      </items>
    </pivotField>
    <pivotField showAll="0"/>
    <pivotField dataField="1" showAll="0"/>
    <pivotField showAll="0"/>
    <pivotField showAll="0"/>
    <pivotField showAll="0"/>
    <pivotField showAll="0"/>
    <pivotField numFmtId="10" showAll="0"/>
  </pivotFields>
  <rowFields count="1">
    <field x="2"/>
  </rowFields>
  <rowItems count="12">
    <i>
      <x/>
    </i>
    <i>
      <x v="1"/>
    </i>
    <i>
      <x v="2"/>
    </i>
    <i>
      <x v="3"/>
    </i>
    <i>
      <x v="4"/>
    </i>
    <i>
      <x v="5"/>
    </i>
    <i>
      <x v="6"/>
    </i>
    <i>
      <x v="7"/>
    </i>
    <i>
      <x v="8"/>
    </i>
    <i>
      <x v="9"/>
    </i>
    <i>
      <x v="10"/>
    </i>
    <i t="grand">
      <x/>
    </i>
  </rowItems>
  <colItems count="1">
    <i/>
  </colItems>
  <dataFields count="1">
    <dataField name="Average Likes" fld="4"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7B518D-3AA2-4EB3-98AB-2025A1FD73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15" firstHeaderRow="1" firstDataRow="1" firstDataCol="1"/>
  <pivotFields count="10">
    <pivotField numFmtId="14" showAll="0"/>
    <pivotField showAll="0"/>
    <pivotField axis="axisRow" showAll="0">
      <items count="13">
        <item x="1"/>
        <item x="4"/>
        <item x="8"/>
        <item x="0"/>
        <item x="10"/>
        <item x="6"/>
        <item x="3"/>
        <item x="7"/>
        <item x="2"/>
        <item x="9"/>
        <item x="5"/>
        <item m="1" x="11"/>
        <item t="default"/>
      </items>
    </pivotField>
    <pivotField showAll="0"/>
    <pivotField showAll="0"/>
    <pivotField showAll="0"/>
    <pivotField showAll="0"/>
    <pivotField showAll="0"/>
    <pivotField showAll="0"/>
    <pivotField dataField="1" numFmtId="10" showAll="0"/>
  </pivotFields>
  <rowFields count="1">
    <field x="2"/>
  </rowFields>
  <rowItems count="12">
    <i>
      <x/>
    </i>
    <i>
      <x v="1"/>
    </i>
    <i>
      <x v="2"/>
    </i>
    <i>
      <x v="3"/>
    </i>
    <i>
      <x v="4"/>
    </i>
    <i>
      <x v="5"/>
    </i>
    <i>
      <x v="6"/>
    </i>
    <i>
      <x v="7"/>
    </i>
    <i>
      <x v="8"/>
    </i>
    <i>
      <x v="9"/>
    </i>
    <i>
      <x v="10"/>
    </i>
    <i t="grand">
      <x/>
    </i>
  </rowItems>
  <colItems count="1">
    <i/>
  </colItems>
  <dataFields count="1">
    <dataField name="Average Engagement Rate" fld="9" subtotal="average" baseField="2" baseItem="0" numFmtId="1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e" xr10:uid="{385F41EF-832D-4DD9-BB2E-8D2DCDB1D559}" sourceName="Theme">
  <pivotTables>
    <pivotTable tabId="3" name="PivotTable2"/>
    <pivotTable tabId="3" name="PivotTable1"/>
    <pivotTable tabId="3" name="PivotTable3"/>
    <pivotTable tabId="3" name="PivotTable4"/>
    <pivotTable tabId="3" name="PivotTable5"/>
  </pivotTables>
  <data>
    <tabular pivotCacheId="1191446816" showMissing="0">
      <items count="12">
        <i x="1" s="1"/>
        <i x="4" s="1"/>
        <i x="8" s="1"/>
        <i x="0" s="1"/>
        <i x="10" s="1"/>
        <i x="6" s="1"/>
        <i x="3" s="1"/>
        <i x="7" s="1"/>
        <i x="2" s="1"/>
        <i x="9" s="1"/>
        <i x="5" s="1"/>
        <i x="1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eme" xr10:uid="{28421A4C-8105-458F-BA59-B23434390375}" cache="Slicer_Theme" caption="Theme"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eme 1" xr10:uid="{5DEEBA5A-431B-4A4A-BE58-3748BF0B0AD0}" cache="Slicer_Theme" caption="Theme"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EB86DE-BDA9-4040-A89E-F66B63EA3C46}" name="Table1" displayName="Table1" ref="A1:J21" totalsRowShown="0">
  <autoFilter ref="A1:J21" xr:uid="{DCEB86DE-BDA9-4040-A89E-F66B63EA3C46}"/>
  <tableColumns count="10">
    <tableColumn id="1" xr3:uid="{2785F550-F52A-467F-9BEC-49F0A347B4B1}" name="Date" dataDxfId="2"/>
    <tableColumn id="2" xr3:uid="{B5AD09B8-A6C5-410F-B34D-6B698C0C54AF}" name="Content Type"/>
    <tableColumn id="3" xr3:uid="{1A727E6D-BBC9-40F6-BD0B-62BB9EA9FB16}" name="Theme"/>
    <tableColumn id="4" xr3:uid="{CC8DF6F8-562C-4B18-ADE4-B2C3FB8F24D3}" name="Views"/>
    <tableColumn id="5" xr3:uid="{FC27A740-4B93-4422-8087-814B7FB53588}" name="Likes"/>
    <tableColumn id="6" xr3:uid="{A05B6D00-7136-47F3-A858-7D6775578251}" name="Comments"/>
    <tableColumn id="7" xr3:uid="{03D7F59F-43EE-410F-85FA-C9148E1E38B6}" name="Saves"/>
    <tableColumn id="8" xr3:uid="{FF7CB861-A183-4002-8521-D4B88D4DFC87}" name="Shares"/>
    <tableColumn id="9" xr3:uid="{785A7C94-880B-4437-9113-CC9A7652D0B0}" name="Total Engagement" dataDxfId="1">
      <calculatedColumnFormula>E2+F2+G2+H2</calculatedColumnFormula>
    </tableColumn>
    <tableColumn id="10" xr3:uid="{86E15411-CCAE-4CF0-AF51-8FB318453B23}" name="Engagement Rate" dataDxfId="0">
      <calculatedColumnFormula>I2/D2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54551"/>
      </a:dk2>
      <a:lt2>
        <a:srgbClr val="D8D9DC"/>
      </a:lt2>
      <a:accent1>
        <a:srgbClr val="E33092"/>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26FF-15B7-48F7-B7BD-812AA4C77E6F}">
  <dimension ref="A3:R21"/>
  <sheetViews>
    <sheetView topLeftCell="Q1" workbookViewId="0">
      <selection activeCell="F11" sqref="F11"/>
    </sheetView>
  </sheetViews>
  <sheetFormatPr defaultRowHeight="15" x14ac:dyDescent="0.2"/>
  <cols>
    <col min="1" max="1" width="28.515625" bestFit="1" customWidth="1"/>
    <col min="2" max="2" width="14.2578125" bestFit="1" customWidth="1"/>
    <col min="5" max="5" width="28.515625" bestFit="1" customWidth="1"/>
    <col min="6" max="6" width="24.6171875" bestFit="1" customWidth="1"/>
    <col min="9" max="9" width="28.515625" bestFit="1" customWidth="1"/>
    <col min="10" max="10" width="13.31640625" bestFit="1" customWidth="1"/>
    <col min="13" max="13" width="28.515625" bestFit="1" customWidth="1"/>
    <col min="14" max="14" width="18.5625" bestFit="1" customWidth="1"/>
    <col min="17" max="17" width="28.515625" bestFit="1" customWidth="1"/>
    <col min="18" max="18" width="14.66015625" bestFit="1" customWidth="1"/>
  </cols>
  <sheetData>
    <row r="3" spans="1:18" x14ac:dyDescent="0.2">
      <c r="A3" s="3" t="s">
        <v>21</v>
      </c>
      <c r="B3" t="s">
        <v>28</v>
      </c>
      <c r="E3" s="3" t="s">
        <v>21</v>
      </c>
      <c r="F3" t="s">
        <v>27</v>
      </c>
      <c r="I3" s="3" t="s">
        <v>21</v>
      </c>
      <c r="J3" t="s">
        <v>26</v>
      </c>
      <c r="M3" s="3" t="s">
        <v>21</v>
      </c>
      <c r="N3" t="s">
        <v>25</v>
      </c>
      <c r="Q3" s="3" t="s">
        <v>21</v>
      </c>
      <c r="R3" t="s">
        <v>24</v>
      </c>
    </row>
    <row r="4" spans="1:18" x14ac:dyDescent="0.2">
      <c r="A4" s="4" t="s">
        <v>11</v>
      </c>
      <c r="B4" s="5">
        <v>2447</v>
      </c>
      <c r="E4" s="4" t="s">
        <v>11</v>
      </c>
      <c r="F4" s="2">
        <v>1.6119387959004052E-2</v>
      </c>
      <c r="I4" s="4" t="s">
        <v>11</v>
      </c>
      <c r="J4" s="5">
        <v>40</v>
      </c>
      <c r="M4" s="4" t="s">
        <v>11</v>
      </c>
      <c r="N4" s="5">
        <v>0</v>
      </c>
      <c r="Q4" s="4" t="s">
        <v>11</v>
      </c>
      <c r="R4" s="5">
        <v>0.5</v>
      </c>
    </row>
    <row r="5" spans="1:18" x14ac:dyDescent="0.2">
      <c r="A5" s="4" t="s">
        <v>15</v>
      </c>
      <c r="B5" s="5">
        <v>177</v>
      </c>
      <c r="E5" s="4" t="s">
        <v>15</v>
      </c>
      <c r="F5" s="2">
        <v>4.519774011299435E-2</v>
      </c>
      <c r="I5" s="4" t="s">
        <v>15</v>
      </c>
      <c r="J5" s="5">
        <v>8</v>
      </c>
      <c r="M5" s="4" t="s">
        <v>15</v>
      </c>
      <c r="N5" s="5">
        <v>0</v>
      </c>
      <c r="Q5" s="4" t="s">
        <v>15</v>
      </c>
      <c r="R5" s="5">
        <v>0</v>
      </c>
    </row>
    <row r="6" spans="1:18" x14ac:dyDescent="0.2">
      <c r="A6" s="4" t="s">
        <v>14</v>
      </c>
      <c r="B6" s="5">
        <v>1991</v>
      </c>
      <c r="E6" s="4" t="s">
        <v>14</v>
      </c>
      <c r="F6" s="2">
        <v>2.7043569782981204E-2</v>
      </c>
      <c r="I6" s="4" t="s">
        <v>14</v>
      </c>
      <c r="J6" s="5">
        <v>47.5</v>
      </c>
      <c r="M6" s="4" t="s">
        <v>14</v>
      </c>
      <c r="N6" s="5">
        <v>3</v>
      </c>
      <c r="Q6" s="4" t="s">
        <v>14</v>
      </c>
      <c r="R6" s="5">
        <v>2</v>
      </c>
    </row>
    <row r="7" spans="1:18" x14ac:dyDescent="0.2">
      <c r="A7" s="4" t="s">
        <v>16</v>
      </c>
      <c r="B7" s="5">
        <v>1270</v>
      </c>
      <c r="E7" s="4" t="s">
        <v>16</v>
      </c>
      <c r="F7" s="2">
        <v>2.6346381584981874E-2</v>
      </c>
      <c r="I7" s="4" t="s">
        <v>16</v>
      </c>
      <c r="J7" s="5">
        <v>22.166666666666668</v>
      </c>
      <c r="M7" s="4" t="s">
        <v>16</v>
      </c>
      <c r="N7" s="5">
        <v>0</v>
      </c>
      <c r="Q7" s="4" t="s">
        <v>16</v>
      </c>
      <c r="R7" s="5">
        <v>1.6666666666666667</v>
      </c>
    </row>
    <row r="8" spans="1:18" x14ac:dyDescent="0.2">
      <c r="A8" s="4" t="s">
        <v>12</v>
      </c>
      <c r="B8" s="5">
        <v>169</v>
      </c>
      <c r="E8" s="4" t="s">
        <v>12</v>
      </c>
      <c r="F8" s="2">
        <v>4.7337278106508875E-2</v>
      </c>
      <c r="I8" s="4" t="s">
        <v>12</v>
      </c>
      <c r="J8" s="5">
        <v>6</v>
      </c>
      <c r="M8" s="4" t="s">
        <v>12</v>
      </c>
      <c r="N8" s="5">
        <v>2</v>
      </c>
      <c r="Q8" s="4" t="s">
        <v>12</v>
      </c>
      <c r="R8" s="5">
        <v>0</v>
      </c>
    </row>
    <row r="9" spans="1:18" x14ac:dyDescent="0.2">
      <c r="A9" s="4" t="s">
        <v>17</v>
      </c>
      <c r="B9" s="5">
        <v>198</v>
      </c>
      <c r="E9" s="4" t="s">
        <v>17</v>
      </c>
      <c r="F9" s="2">
        <v>2.0202020202020204E-2</v>
      </c>
      <c r="I9" s="4" t="s">
        <v>17</v>
      </c>
      <c r="J9" s="5">
        <v>4</v>
      </c>
      <c r="M9" s="4" t="s">
        <v>17</v>
      </c>
      <c r="N9" s="5">
        <v>0</v>
      </c>
      <c r="Q9" s="4" t="s">
        <v>17</v>
      </c>
      <c r="R9" s="5">
        <v>0</v>
      </c>
    </row>
    <row r="10" spans="1:18" x14ac:dyDescent="0.2">
      <c r="A10" s="4" t="s">
        <v>10</v>
      </c>
      <c r="B10" s="5">
        <v>77</v>
      </c>
      <c r="E10" s="4" t="s">
        <v>10</v>
      </c>
      <c r="F10" s="2">
        <v>7.792207792207792E-2</v>
      </c>
      <c r="I10" s="4" t="s">
        <v>10</v>
      </c>
      <c r="J10" s="5">
        <v>5</v>
      </c>
      <c r="M10" s="4" t="s">
        <v>10</v>
      </c>
      <c r="N10" s="5">
        <v>0</v>
      </c>
      <c r="Q10" s="4" t="s">
        <v>10</v>
      </c>
      <c r="R10" s="5">
        <v>1</v>
      </c>
    </row>
    <row r="11" spans="1:18" x14ac:dyDescent="0.2">
      <c r="A11" s="4" t="s">
        <v>13</v>
      </c>
      <c r="B11" s="5">
        <v>183</v>
      </c>
      <c r="E11" s="4" t="s">
        <v>13</v>
      </c>
      <c r="F11" s="2">
        <v>3.825136612021858E-2</v>
      </c>
      <c r="I11" s="4" t="s">
        <v>13</v>
      </c>
      <c r="J11" s="5">
        <v>7</v>
      </c>
      <c r="M11" s="4" t="s">
        <v>13</v>
      </c>
      <c r="N11" s="5">
        <v>0</v>
      </c>
      <c r="Q11" s="4" t="s">
        <v>13</v>
      </c>
      <c r="R11" s="5">
        <v>0</v>
      </c>
    </row>
    <row r="12" spans="1:18" x14ac:dyDescent="0.2">
      <c r="A12" s="4" t="s">
        <v>9</v>
      </c>
      <c r="B12" s="5">
        <v>149</v>
      </c>
      <c r="E12" s="4" t="s">
        <v>23</v>
      </c>
      <c r="F12" s="2">
        <v>3.3149171270718231E-2</v>
      </c>
      <c r="I12" s="4" t="s">
        <v>23</v>
      </c>
      <c r="J12" s="5">
        <v>5</v>
      </c>
      <c r="M12" s="4" t="s">
        <v>23</v>
      </c>
      <c r="N12" s="5">
        <v>0</v>
      </c>
      <c r="Q12" s="4" t="s">
        <v>23</v>
      </c>
      <c r="R12" s="5">
        <v>1</v>
      </c>
    </row>
    <row r="13" spans="1:18" x14ac:dyDescent="0.2">
      <c r="A13" s="4" t="s">
        <v>8</v>
      </c>
      <c r="B13" s="5">
        <v>104.66666666666667</v>
      </c>
      <c r="E13" s="4" t="s">
        <v>9</v>
      </c>
      <c r="F13" s="2">
        <v>2.0134228187919462E-2</v>
      </c>
      <c r="I13" s="4" t="s">
        <v>9</v>
      </c>
      <c r="J13" s="5">
        <v>2</v>
      </c>
      <c r="M13" s="4" t="s">
        <v>9</v>
      </c>
      <c r="N13" s="5">
        <v>1</v>
      </c>
      <c r="Q13" s="4" t="s">
        <v>9</v>
      </c>
      <c r="R13" s="5">
        <v>0</v>
      </c>
    </row>
    <row r="14" spans="1:18" x14ac:dyDescent="0.2">
      <c r="A14" s="4" t="s">
        <v>23</v>
      </c>
      <c r="B14" s="5">
        <v>181</v>
      </c>
      <c r="E14" s="4" t="s">
        <v>8</v>
      </c>
      <c r="F14" s="2">
        <v>6.1253821080542468E-2</v>
      </c>
      <c r="I14" s="4" t="s">
        <v>8</v>
      </c>
      <c r="J14" s="5">
        <v>3.3333333333333335</v>
      </c>
      <c r="M14" s="4" t="s">
        <v>8</v>
      </c>
      <c r="N14" s="5">
        <v>0.66666666666666663</v>
      </c>
      <c r="Q14" s="4" t="s">
        <v>8</v>
      </c>
      <c r="R14" s="5">
        <v>0</v>
      </c>
    </row>
    <row r="15" spans="1:18" x14ac:dyDescent="0.2">
      <c r="A15" s="4" t="s">
        <v>22</v>
      </c>
      <c r="B15" s="5">
        <v>897.2</v>
      </c>
      <c r="E15" s="4" t="s">
        <v>22</v>
      </c>
      <c r="F15" s="2">
        <v>3.5517977507897341E-2</v>
      </c>
      <c r="I15" s="4" t="s">
        <v>22</v>
      </c>
      <c r="J15" s="5">
        <v>17.75</v>
      </c>
      <c r="M15" s="4" t="s">
        <v>22</v>
      </c>
      <c r="N15" s="5">
        <v>0.55000000000000004</v>
      </c>
      <c r="Q15" s="4" t="s">
        <v>22</v>
      </c>
      <c r="R15" s="5">
        <v>0.85</v>
      </c>
    </row>
    <row r="18" spans="1:2" x14ac:dyDescent="0.2">
      <c r="A18" s="4" t="s">
        <v>29</v>
      </c>
      <c r="B18">
        <f>COUNTA(Table1[Date])</f>
        <v>20</v>
      </c>
    </row>
    <row r="19" spans="1:2" x14ac:dyDescent="0.2">
      <c r="A19" s="4" t="s">
        <v>28</v>
      </c>
      <c r="B19" s="7">
        <f>AVERAGE(Table1[Views])</f>
        <v>897.2</v>
      </c>
    </row>
    <row r="20" spans="1:2" x14ac:dyDescent="0.2">
      <c r="A20" s="4" t="s">
        <v>27</v>
      </c>
      <c r="B20" s="2">
        <f>AVERAGE(Table1[Engagement Rate])</f>
        <v>3.5517977507897341E-2</v>
      </c>
    </row>
    <row r="21" spans="1:2" x14ac:dyDescent="0.2">
      <c r="A21" s="4" t="s">
        <v>18</v>
      </c>
      <c r="B21">
        <f>SUM(Table1[Total Engagement])</f>
        <v>388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21F2-C34F-47A1-99A0-C5DCDA48BBE0}">
  <dimension ref="AA33"/>
  <sheetViews>
    <sheetView showGridLines="0" tabSelected="1" zoomScale="52" workbookViewId="0">
      <selection activeCell="P65" sqref="P65"/>
    </sheetView>
  </sheetViews>
  <sheetFormatPr defaultRowHeight="15" x14ac:dyDescent="0.2"/>
  <sheetData>
    <row r="33" spans="27:27" x14ac:dyDescent="0.2">
      <c r="AA33" s="6" t="s">
        <v>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9222-C4DC-4283-9497-37E9DFAF02D6}">
  <dimension ref="A1:J21"/>
  <sheetViews>
    <sheetView topLeftCell="A4" workbookViewId="0">
      <selection activeCell="I21" sqref="I21"/>
    </sheetView>
  </sheetViews>
  <sheetFormatPr defaultRowHeight="15" x14ac:dyDescent="0.2"/>
  <cols>
    <col min="1" max="1" width="13.44921875" customWidth="1"/>
    <col min="2" max="2" width="14.9296875" customWidth="1"/>
    <col min="3" max="3" width="27.3046875" customWidth="1"/>
    <col min="6" max="6" width="12.64453125" customWidth="1"/>
    <col min="9" max="9" width="18.96484375" customWidth="1"/>
    <col min="10" max="10" width="18.5625" style="2" customWidth="1"/>
  </cols>
  <sheetData>
    <row r="1" spans="1:10" x14ac:dyDescent="0.2">
      <c r="A1" t="s">
        <v>0</v>
      </c>
      <c r="B1" t="s">
        <v>1</v>
      </c>
      <c r="C1" t="s">
        <v>2</v>
      </c>
      <c r="D1" t="s">
        <v>19</v>
      </c>
      <c r="E1" t="s">
        <v>3</v>
      </c>
      <c r="F1" t="s">
        <v>4</v>
      </c>
      <c r="G1" t="s">
        <v>5</v>
      </c>
      <c r="H1" t="s">
        <v>6</v>
      </c>
      <c r="I1" t="s">
        <v>18</v>
      </c>
      <c r="J1" s="2" t="s">
        <v>20</v>
      </c>
    </row>
    <row r="2" spans="1:10" x14ac:dyDescent="0.2">
      <c r="A2" s="1">
        <v>46157</v>
      </c>
      <c r="B2" t="s">
        <v>7</v>
      </c>
      <c r="C2" t="s">
        <v>16</v>
      </c>
      <c r="D2">
        <v>2842</v>
      </c>
      <c r="E2">
        <v>53</v>
      </c>
      <c r="F2">
        <v>0</v>
      </c>
      <c r="G2">
        <v>0</v>
      </c>
      <c r="H2">
        <v>4</v>
      </c>
      <c r="I2">
        <f t="shared" ref="I2:I21" si="0">E2+F2+G2+H2</f>
        <v>57</v>
      </c>
      <c r="J2" s="2">
        <f t="shared" ref="J2:J21" si="1">I2/D2</f>
        <v>2.0056298381421533E-2</v>
      </c>
    </row>
    <row r="3" spans="1:10" x14ac:dyDescent="0.2">
      <c r="A3" s="1">
        <v>46160</v>
      </c>
      <c r="B3" t="s">
        <v>7</v>
      </c>
      <c r="C3" t="s">
        <v>16</v>
      </c>
      <c r="D3">
        <v>1574</v>
      </c>
      <c r="E3">
        <v>36</v>
      </c>
      <c r="F3">
        <v>0</v>
      </c>
      <c r="G3">
        <v>0</v>
      </c>
      <c r="H3">
        <v>2</v>
      </c>
      <c r="I3">
        <f t="shared" si="0"/>
        <v>38</v>
      </c>
      <c r="J3" s="2">
        <f t="shared" si="1"/>
        <v>2.4142312579415501E-2</v>
      </c>
    </row>
    <row r="4" spans="1:10" x14ac:dyDescent="0.2">
      <c r="A4" s="1">
        <v>46161</v>
      </c>
      <c r="B4" t="s">
        <v>7</v>
      </c>
      <c r="C4" t="s">
        <v>11</v>
      </c>
      <c r="D4">
        <v>2151</v>
      </c>
      <c r="E4">
        <v>27</v>
      </c>
      <c r="F4">
        <v>0</v>
      </c>
      <c r="G4">
        <v>0</v>
      </c>
      <c r="H4">
        <v>0</v>
      </c>
      <c r="I4">
        <f t="shared" si="0"/>
        <v>27</v>
      </c>
      <c r="J4" s="2">
        <f t="shared" si="1"/>
        <v>1.2552301255230125E-2</v>
      </c>
    </row>
    <row r="5" spans="1:10" x14ac:dyDescent="0.2">
      <c r="A5" s="1">
        <v>46161</v>
      </c>
      <c r="B5" t="s">
        <v>7</v>
      </c>
      <c r="C5" t="s">
        <v>11</v>
      </c>
      <c r="D5">
        <v>2743</v>
      </c>
      <c r="E5">
        <v>53</v>
      </c>
      <c r="F5">
        <v>0</v>
      </c>
      <c r="G5">
        <v>0</v>
      </c>
      <c r="H5">
        <v>1</v>
      </c>
      <c r="I5">
        <f t="shared" si="0"/>
        <v>54</v>
      </c>
      <c r="J5" s="2">
        <f t="shared" si="1"/>
        <v>1.9686474662777981E-2</v>
      </c>
    </row>
    <row r="6" spans="1:10" x14ac:dyDescent="0.2">
      <c r="A6" s="1">
        <v>46168</v>
      </c>
      <c r="B6" t="s">
        <v>7</v>
      </c>
      <c r="C6" t="s">
        <v>23</v>
      </c>
      <c r="D6">
        <v>181</v>
      </c>
      <c r="E6">
        <v>5</v>
      </c>
      <c r="F6">
        <v>0</v>
      </c>
      <c r="G6">
        <v>0</v>
      </c>
      <c r="H6">
        <v>1</v>
      </c>
      <c r="I6">
        <f t="shared" si="0"/>
        <v>6</v>
      </c>
      <c r="J6" s="2">
        <f t="shared" si="1"/>
        <v>3.3149171270718231E-2</v>
      </c>
    </row>
    <row r="7" spans="1:10" x14ac:dyDescent="0.2">
      <c r="A7" s="1">
        <v>46168</v>
      </c>
      <c r="B7" t="s">
        <v>7</v>
      </c>
      <c r="C7" t="s">
        <v>16</v>
      </c>
      <c r="D7">
        <v>376</v>
      </c>
      <c r="E7">
        <v>0</v>
      </c>
      <c r="F7">
        <v>0</v>
      </c>
      <c r="G7">
        <v>0</v>
      </c>
      <c r="H7">
        <v>1</v>
      </c>
      <c r="I7">
        <f t="shared" si="0"/>
        <v>1</v>
      </c>
      <c r="J7" s="2">
        <f t="shared" si="1"/>
        <v>2.6595744680851063E-3</v>
      </c>
    </row>
    <row r="8" spans="1:10" x14ac:dyDescent="0.2">
      <c r="A8" s="1">
        <v>46169</v>
      </c>
      <c r="B8" t="s">
        <v>7</v>
      </c>
      <c r="C8" t="s">
        <v>16</v>
      </c>
      <c r="D8">
        <v>90</v>
      </c>
      <c r="E8">
        <v>6</v>
      </c>
      <c r="F8">
        <v>0</v>
      </c>
      <c r="G8">
        <v>0</v>
      </c>
      <c r="H8">
        <v>1</v>
      </c>
      <c r="I8">
        <f t="shared" si="0"/>
        <v>7</v>
      </c>
      <c r="J8" s="2">
        <f t="shared" si="1"/>
        <v>7.7777777777777779E-2</v>
      </c>
    </row>
    <row r="9" spans="1:10" x14ac:dyDescent="0.2">
      <c r="A9" s="1">
        <v>46170</v>
      </c>
      <c r="B9" t="s">
        <v>7</v>
      </c>
      <c r="C9" t="s">
        <v>10</v>
      </c>
      <c r="D9">
        <v>77</v>
      </c>
      <c r="E9">
        <v>5</v>
      </c>
      <c r="F9">
        <v>0</v>
      </c>
      <c r="G9">
        <v>0</v>
      </c>
      <c r="H9">
        <v>1</v>
      </c>
      <c r="I9">
        <f t="shared" si="0"/>
        <v>6</v>
      </c>
      <c r="J9" s="2">
        <f t="shared" si="1"/>
        <v>7.792207792207792E-2</v>
      </c>
    </row>
    <row r="10" spans="1:10" x14ac:dyDescent="0.2">
      <c r="A10" s="1">
        <v>46172</v>
      </c>
      <c r="B10" t="s">
        <v>7</v>
      </c>
      <c r="C10" t="s">
        <v>16</v>
      </c>
      <c r="D10">
        <v>1919</v>
      </c>
      <c r="E10">
        <v>21</v>
      </c>
      <c r="F10">
        <v>0</v>
      </c>
      <c r="G10">
        <v>0</v>
      </c>
      <c r="H10">
        <v>1</v>
      </c>
      <c r="I10">
        <f t="shared" si="0"/>
        <v>22</v>
      </c>
      <c r="J10" s="2">
        <f t="shared" si="1"/>
        <v>1.1464304325169358E-2</v>
      </c>
    </row>
    <row r="11" spans="1:10" x14ac:dyDescent="0.2">
      <c r="A11" s="1">
        <v>46174</v>
      </c>
      <c r="B11" t="s">
        <v>7</v>
      </c>
      <c r="C11" t="s">
        <v>15</v>
      </c>
      <c r="D11">
        <v>177</v>
      </c>
      <c r="E11">
        <v>8</v>
      </c>
      <c r="F11">
        <v>0</v>
      </c>
      <c r="G11">
        <v>0</v>
      </c>
      <c r="H11">
        <v>0</v>
      </c>
      <c r="I11">
        <f t="shared" si="0"/>
        <v>8</v>
      </c>
      <c r="J11" s="2">
        <f t="shared" si="1"/>
        <v>4.519774011299435E-2</v>
      </c>
    </row>
    <row r="12" spans="1:10" x14ac:dyDescent="0.2">
      <c r="A12" s="1">
        <v>46176</v>
      </c>
      <c r="B12" t="s">
        <v>7</v>
      </c>
      <c r="C12" t="s">
        <v>16</v>
      </c>
      <c r="D12">
        <v>819</v>
      </c>
      <c r="E12">
        <v>17</v>
      </c>
      <c r="F12">
        <v>0</v>
      </c>
      <c r="G12">
        <v>0</v>
      </c>
      <c r="H12">
        <v>1</v>
      </c>
      <c r="I12">
        <f t="shared" si="0"/>
        <v>18</v>
      </c>
      <c r="J12" s="2">
        <f t="shared" si="1"/>
        <v>2.197802197802198E-2</v>
      </c>
    </row>
    <row r="13" spans="1:10" x14ac:dyDescent="0.2">
      <c r="A13" s="1">
        <v>46178</v>
      </c>
      <c r="B13" t="s">
        <v>7</v>
      </c>
      <c r="C13" t="s">
        <v>8</v>
      </c>
      <c r="D13">
        <v>136</v>
      </c>
      <c r="E13">
        <v>4</v>
      </c>
      <c r="F13">
        <v>0</v>
      </c>
      <c r="G13">
        <v>0</v>
      </c>
      <c r="H13">
        <v>0</v>
      </c>
      <c r="I13">
        <f t="shared" si="0"/>
        <v>4</v>
      </c>
      <c r="J13" s="2">
        <f t="shared" si="1"/>
        <v>2.9411764705882353E-2</v>
      </c>
    </row>
    <row r="14" spans="1:10" x14ac:dyDescent="0.2">
      <c r="A14" s="1">
        <v>46183</v>
      </c>
      <c r="B14" t="s">
        <v>7</v>
      </c>
      <c r="C14" t="s">
        <v>17</v>
      </c>
      <c r="D14">
        <v>198</v>
      </c>
      <c r="E14">
        <v>4</v>
      </c>
      <c r="F14">
        <v>0</v>
      </c>
      <c r="G14">
        <v>0</v>
      </c>
      <c r="H14">
        <v>0</v>
      </c>
      <c r="I14">
        <f t="shared" si="0"/>
        <v>4</v>
      </c>
      <c r="J14" s="2">
        <f t="shared" si="1"/>
        <v>2.0202020202020204E-2</v>
      </c>
    </row>
    <row r="15" spans="1:10" x14ac:dyDescent="0.2">
      <c r="A15" s="1">
        <v>46185</v>
      </c>
      <c r="B15" t="s">
        <v>7</v>
      </c>
      <c r="C15" t="s">
        <v>13</v>
      </c>
      <c r="D15">
        <v>183</v>
      </c>
      <c r="E15">
        <v>7</v>
      </c>
      <c r="F15">
        <v>0</v>
      </c>
      <c r="G15">
        <v>0</v>
      </c>
      <c r="H15">
        <v>0</v>
      </c>
      <c r="I15">
        <f t="shared" si="0"/>
        <v>7</v>
      </c>
      <c r="J15" s="2">
        <f t="shared" si="1"/>
        <v>3.825136612021858E-2</v>
      </c>
    </row>
    <row r="16" spans="1:10" x14ac:dyDescent="0.2">
      <c r="A16" s="1">
        <v>46186</v>
      </c>
      <c r="B16" t="s">
        <v>7</v>
      </c>
      <c r="C16" t="s">
        <v>14</v>
      </c>
      <c r="D16">
        <v>2238</v>
      </c>
      <c r="E16">
        <v>58</v>
      </c>
      <c r="F16">
        <v>6</v>
      </c>
      <c r="G16">
        <v>5</v>
      </c>
      <c r="H16">
        <v>2</v>
      </c>
      <c r="I16">
        <f t="shared" si="0"/>
        <v>71</v>
      </c>
      <c r="J16" s="2">
        <f t="shared" si="1"/>
        <v>3.1724754244861486E-2</v>
      </c>
    </row>
    <row r="17" spans="1:10" x14ac:dyDescent="0.2">
      <c r="A17" s="1">
        <v>46187</v>
      </c>
      <c r="B17" t="s">
        <v>7</v>
      </c>
      <c r="C17" t="s">
        <v>14</v>
      </c>
      <c r="D17">
        <v>1744</v>
      </c>
      <c r="E17">
        <v>37</v>
      </c>
      <c r="F17">
        <v>0</v>
      </c>
      <c r="G17">
        <v>0</v>
      </c>
      <c r="H17">
        <v>2</v>
      </c>
      <c r="I17">
        <f t="shared" si="0"/>
        <v>39</v>
      </c>
      <c r="J17" s="2">
        <f t="shared" si="1"/>
        <v>2.2362385321100919E-2</v>
      </c>
    </row>
    <row r="18" spans="1:10" x14ac:dyDescent="0.2">
      <c r="A18" s="1">
        <v>46189</v>
      </c>
      <c r="B18" t="s">
        <v>7</v>
      </c>
      <c r="C18" t="s">
        <v>9</v>
      </c>
      <c r="D18">
        <v>149</v>
      </c>
      <c r="E18">
        <v>2</v>
      </c>
      <c r="F18">
        <v>1</v>
      </c>
      <c r="G18">
        <v>0</v>
      </c>
      <c r="H18">
        <v>0</v>
      </c>
      <c r="I18">
        <f t="shared" si="0"/>
        <v>3</v>
      </c>
      <c r="J18" s="2">
        <f t="shared" si="1"/>
        <v>2.0134228187919462E-2</v>
      </c>
    </row>
    <row r="19" spans="1:10" x14ac:dyDescent="0.2">
      <c r="A19" s="1">
        <v>46193</v>
      </c>
      <c r="B19" t="s">
        <v>7</v>
      </c>
      <c r="C19" t="s">
        <v>8</v>
      </c>
      <c r="D19">
        <v>135</v>
      </c>
      <c r="E19">
        <v>2</v>
      </c>
      <c r="F19">
        <v>0</v>
      </c>
      <c r="G19">
        <v>0</v>
      </c>
      <c r="H19">
        <v>0</v>
      </c>
      <c r="I19">
        <f t="shared" si="0"/>
        <v>2</v>
      </c>
      <c r="J19" s="2">
        <f t="shared" si="1"/>
        <v>1.4814814814814815E-2</v>
      </c>
    </row>
    <row r="20" spans="1:10" x14ac:dyDescent="0.2">
      <c r="A20" s="1">
        <v>46195</v>
      </c>
      <c r="B20" t="s">
        <v>7</v>
      </c>
      <c r="C20" t="s">
        <v>8</v>
      </c>
      <c r="D20">
        <v>43</v>
      </c>
      <c r="E20">
        <v>4</v>
      </c>
      <c r="F20">
        <v>2</v>
      </c>
      <c r="G20">
        <v>0</v>
      </c>
      <c r="H20">
        <v>0</v>
      </c>
      <c r="I20">
        <f t="shared" si="0"/>
        <v>6</v>
      </c>
      <c r="J20" s="2">
        <f t="shared" si="1"/>
        <v>0.13953488372093023</v>
      </c>
    </row>
    <row r="21" spans="1:10" x14ac:dyDescent="0.2">
      <c r="A21" s="1">
        <v>46197</v>
      </c>
      <c r="B21" t="s">
        <v>7</v>
      </c>
      <c r="C21" t="s">
        <v>12</v>
      </c>
      <c r="D21">
        <v>169</v>
      </c>
      <c r="E21">
        <v>6</v>
      </c>
      <c r="F21">
        <v>2</v>
      </c>
      <c r="G21">
        <v>0</v>
      </c>
      <c r="H21">
        <v>0</v>
      </c>
      <c r="I21">
        <f t="shared" si="0"/>
        <v>8</v>
      </c>
      <c r="J21" s="2">
        <f t="shared" si="1"/>
        <v>4.7337278106508875E-2</v>
      </c>
    </row>
  </sheetData>
  <sortState xmlns:xlrd2="http://schemas.microsoft.com/office/spreadsheetml/2017/richdata2" ref="A2:J21">
    <sortCondition ref="A2:A21"/>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Ohai</dc:creator>
  <cp:lastModifiedBy>Esther Ohai</cp:lastModifiedBy>
  <dcterms:created xsi:type="dcterms:W3CDTF">2026-06-27T21:22:27Z</dcterms:created>
  <dcterms:modified xsi:type="dcterms:W3CDTF">2026-07-15T15:48:02Z</dcterms:modified>
</cp:coreProperties>
</file>